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cacionIT\Documents\networks\server-hacking\nssh-mj19\docs\"/>
    </mc:Choice>
  </mc:AlternateContent>
  <xr:revisionPtr revIDLastSave="0" documentId="13_ncr:1_{AB1671D3-0C52-4FE3-B218-519B2EABDE45}" xr6:coauthVersionLast="47" xr6:coauthVersionMax="47" xr10:uidLastSave="{00000000-0000-0000-0000-000000000000}"/>
  <bookViews>
    <workbookView xWindow="-120" yWindow="-120" windowWidth="20730" windowHeight="11040" activeTab="7" xr2:uid="{D01C2053-D11D-4E53-94C6-551C8782C843}"/>
  </bookViews>
  <sheets>
    <sheet name="Cifrado" sheetId="4" r:id="rId1"/>
    <sheet name="Unidades" sheetId="3" r:id="rId2"/>
    <sheet name="Modelos" sheetId="5" r:id="rId3"/>
    <sheet name="acceso" sheetId="6" r:id="rId4"/>
    <sheet name="internet" sheetId="7" r:id="rId5"/>
    <sheet name="transporte" sheetId="8" r:id="rId6"/>
    <sheet name="aplicacion" sheetId="9" r:id="rId7"/>
    <sheet name="sistemas" sheetId="10" r:id="rId8"/>
  </sheets>
  <definedNames>
    <definedName name="DESPLAZAMIENTO">Cifrado!$Z$4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7" l="1"/>
  <c r="E8" i="7"/>
  <c r="E11" i="8"/>
  <c r="B13" i="6"/>
  <c r="B6" i="6"/>
  <c r="B15" i="7"/>
  <c r="B7" i="7"/>
  <c r="E5" i="8"/>
  <c r="B7" i="8"/>
  <c r="B15" i="8"/>
  <c r="B23" i="8"/>
  <c r="B31" i="8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A6" i="4"/>
  <c r="Z3" i="4"/>
  <c r="Y3" i="4"/>
  <c r="X3" i="4"/>
  <c r="W3" i="4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  <c r="C3" i="4"/>
  <c r="B3" i="4"/>
  <c r="A3" i="4"/>
</calcChain>
</file>

<file path=xl/sharedStrings.xml><?xml version="1.0" encoding="utf-8"?>
<sst xmlns="http://schemas.openxmlformats.org/spreadsheetml/2006/main" count="401" uniqueCount="257">
  <si>
    <t>C</t>
  </si>
  <si>
    <t>D</t>
  </si>
  <si>
    <t>R</t>
  </si>
  <si>
    <t>binary digit</t>
  </si>
  <si>
    <t>bit</t>
  </si>
  <si>
    <t>1 | 0</t>
  </si>
  <si>
    <t>ALMACENAMIENTO</t>
  </si>
  <si>
    <t>Byte</t>
  </si>
  <si>
    <t>8 bits</t>
  </si>
  <si>
    <t>10^0</t>
  </si>
  <si>
    <t>-</t>
  </si>
  <si>
    <t>KiloByte</t>
  </si>
  <si>
    <t>MegaByte</t>
  </si>
  <si>
    <t>GigaByte</t>
  </si>
  <si>
    <t>TeraByte</t>
  </si>
  <si>
    <t>PetaByte</t>
  </si>
  <si>
    <t>ExaByte</t>
  </si>
  <si>
    <t>ZettaByte</t>
  </si>
  <si>
    <t>YottaByte</t>
  </si>
  <si>
    <t>BrontoByte</t>
  </si>
  <si>
    <t>GeopByte</t>
  </si>
  <si>
    <t>SaganByte</t>
  </si>
  <si>
    <t>1000 B</t>
  </si>
  <si>
    <t>1000 KB</t>
  </si>
  <si>
    <t>1000 MB</t>
  </si>
  <si>
    <t>1000 GB</t>
  </si>
  <si>
    <t>1000 TB</t>
  </si>
  <si>
    <t>1000 XB</t>
  </si>
  <si>
    <t>1000 ZB</t>
  </si>
  <si>
    <t>1000 YB</t>
  </si>
  <si>
    <t>1000 BB</t>
  </si>
  <si>
    <t>1000 PB</t>
  </si>
  <si>
    <t>1000 GeB</t>
  </si>
  <si>
    <t>10^3</t>
  </si>
  <si>
    <t>10^6</t>
  </si>
  <si>
    <t>10^9</t>
  </si>
  <si>
    <t>10^12</t>
  </si>
  <si>
    <t>10^15</t>
  </si>
  <si>
    <t>10^18</t>
  </si>
  <si>
    <t>10^21</t>
  </si>
  <si>
    <t>10^24</t>
  </si>
  <si>
    <t>10^27</t>
  </si>
  <si>
    <t>10^30</t>
  </si>
  <si>
    <t>10^33</t>
  </si>
  <si>
    <t>KiB</t>
  </si>
  <si>
    <t>GiB</t>
  </si>
  <si>
    <t>MiB</t>
  </si>
  <si>
    <t>TiB</t>
  </si>
  <si>
    <t>PiB</t>
  </si>
  <si>
    <t>ZiB</t>
  </si>
  <si>
    <t>YiB</t>
  </si>
  <si>
    <t>BiB</t>
  </si>
  <si>
    <t>SiB</t>
  </si>
  <si>
    <t>XiB</t>
  </si>
  <si>
    <t>GeiB</t>
  </si>
  <si>
    <t>ALFABETO INVERSO (ATBASH):</t>
  </si>
  <si>
    <t>r</t>
  </si>
  <si>
    <t>i</t>
  </si>
  <si>
    <t>s</t>
  </si>
  <si>
    <t>t</t>
  </si>
  <si>
    <t>a</t>
  </si>
  <si>
    <t>n</t>
  </si>
  <si>
    <t>m</t>
  </si>
  <si>
    <t>c</t>
  </si>
  <si>
    <t>e</t>
  </si>
  <si>
    <t>d</t>
  </si>
  <si>
    <t>o</t>
  </si>
  <si>
    <t>CONTRASEÑA ORIGINAL</t>
  </si>
  <si>
    <t>CIFRADO RESULTANTE</t>
  </si>
  <si>
    <t>SUSTITUCION DE CARACTERES (CESAR):</t>
  </si>
  <si>
    <t>DESPLAZAMIENTO</t>
  </si>
  <si>
    <t>b</t>
  </si>
  <si>
    <t>1Gbps</t>
  </si>
  <si>
    <t>125MBps</t>
  </si>
  <si>
    <t>ANCHO DE BANDA</t>
  </si>
  <si>
    <t>UNIDAD</t>
  </si>
  <si>
    <t>EQUIV</t>
  </si>
  <si>
    <t>EXP</t>
  </si>
  <si>
    <t>REAL</t>
  </si>
  <si>
    <t>bit/seg</t>
  </si>
  <si>
    <t>bits por segundo</t>
  </si>
  <si>
    <t>Kilobits/seg</t>
  </si>
  <si>
    <t>Megabits/seg</t>
  </si>
  <si>
    <t>Gigabits/seg</t>
  </si>
  <si>
    <t>Terabits/seg</t>
  </si>
  <si>
    <t>FRECUENCIA</t>
  </si>
  <si>
    <t>Hertz</t>
  </si>
  <si>
    <t>ciclos por segundo</t>
  </si>
  <si>
    <t>KiloHertz</t>
  </si>
  <si>
    <t>1000 Hz</t>
  </si>
  <si>
    <t>MegaHertz</t>
  </si>
  <si>
    <t>1000 KHz</t>
  </si>
  <si>
    <t>GigaHertz</t>
  </si>
  <si>
    <t>1000 MHz</t>
  </si>
  <si>
    <t>1000 bps</t>
  </si>
  <si>
    <t>1000 Kbps</t>
  </si>
  <si>
    <t>1000 Mbps</t>
  </si>
  <si>
    <t>1000 Gbps</t>
  </si>
  <si>
    <t>OSI de ISO</t>
  </si>
  <si>
    <t>TCP/IP de IETF</t>
  </si>
  <si>
    <t>APLICACIÓN</t>
  </si>
  <si>
    <t>PRESENTACION</t>
  </si>
  <si>
    <t>SESION</t>
  </si>
  <si>
    <t>TRANSPORTE</t>
  </si>
  <si>
    <t>RED</t>
  </si>
  <si>
    <t>ENLACE DATOS</t>
  </si>
  <si>
    <t>FISICA</t>
  </si>
  <si>
    <t>PDU</t>
  </si>
  <si>
    <t>PROTOCOLOS</t>
  </si>
  <si>
    <t>LAN</t>
  </si>
  <si>
    <t>INTERNET</t>
  </si>
  <si>
    <t>ACCESO A RED</t>
  </si>
  <si>
    <t>WAN</t>
  </si>
  <si>
    <t>DATA</t>
  </si>
  <si>
    <t>SEGMENT</t>
  </si>
  <si>
    <t>PACKET</t>
  </si>
  <si>
    <t>FRAME</t>
  </si>
  <si>
    <t>BITS</t>
  </si>
  <si>
    <t>HTTP - HTTPS - FTP - SFTP - TFTP - POP3 - IMAP - SMTP - SMB - IPP - TELNET - SSH - DHCP - DNS - SSL/TLS</t>
  </si>
  <si>
    <t>UDP - TCP</t>
  </si>
  <si>
    <t>IP - ICMP - NDP</t>
  </si>
  <si>
    <t>ARP - ETHERNET - PPP - WIFI</t>
  </si>
  <si>
    <t>10GBaseTX - 100BaseCx - 10GBaseLX</t>
  </si>
  <si>
    <t>ETHERNET</t>
  </si>
  <si>
    <t>EJEMPLO</t>
  </si>
  <si>
    <t>ARP</t>
  </si>
  <si>
    <t>UNICAST</t>
  </si>
  <si>
    <t>MULTICAST</t>
  </si>
  <si>
    <t>BROADCAST</t>
  </si>
  <si>
    <t>El Destinatario es un HOST</t>
  </si>
  <si>
    <t>El Destinatario es un Grupo de HOSTS</t>
  </si>
  <si>
    <t>Los Destinatarios son Todos los HOSTS</t>
  </si>
  <si>
    <t>Capa 2</t>
  </si>
  <si>
    <t>Capa 3</t>
  </si>
  <si>
    <t>Modelo</t>
  </si>
  <si>
    <t>Unicast</t>
  </si>
  <si>
    <t>Multicast</t>
  </si>
  <si>
    <t>Broadcast</t>
  </si>
  <si>
    <t>192.168.0.1</t>
  </si>
  <si>
    <t>0800.272D.E8B7</t>
  </si>
  <si>
    <t>224.0.0.2</t>
  </si>
  <si>
    <t>FFFF.FFFF.FFFF</t>
  </si>
  <si>
    <t>DST MAC</t>
  </si>
  <si>
    <t>SRC MAC</t>
  </si>
  <si>
    <t>TYPE</t>
  </si>
  <si>
    <t>PAYLOAD</t>
  </si>
  <si>
    <t>FCS</t>
  </si>
  <si>
    <t>A051.50A1.6A12</t>
  </si>
  <si>
    <t>0x806 (ARP)</t>
  </si>
  <si>
    <t>SRC IP</t>
  </si>
  <si>
    <t>TARGET IP</t>
  </si>
  <si>
    <t>TARGET MAC</t>
  </si>
  <si>
    <t>SOURCE IP</t>
  </si>
  <si>
    <t>SOURCE MAC</t>
  </si>
  <si>
    <t>VERSION</t>
  </si>
  <si>
    <t>IPv4</t>
  </si>
  <si>
    <t>192.168.0.2</t>
  </si>
  <si>
    <t>0000.0000.0000</t>
  </si>
  <si>
    <t>TTL</t>
  </si>
  <si>
    <t>DST IP</t>
  </si>
  <si>
    <t>CHECKSUM</t>
  </si>
  <si>
    <t>TCP</t>
  </si>
  <si>
    <t>SRC PORT</t>
  </si>
  <si>
    <t>DST PORT</t>
  </si>
  <si>
    <t>SEQ</t>
  </si>
  <si>
    <t>ACK</t>
  </si>
  <si>
    <t>WINDOW</t>
  </si>
  <si>
    <t>PORTS</t>
  </si>
  <si>
    <t>CONOCIDO</t>
  </si>
  <si>
    <t>REGISTRADO</t>
  </si>
  <si>
    <t>DINAMICO</t>
  </si>
  <si>
    <t>INI</t>
  </si>
  <si>
    <t>FIN</t>
  </si>
  <si>
    <t>0800.0B07:0DB8</t>
  </si>
  <si>
    <t>MENSAJE</t>
  </si>
  <si>
    <t>DESCRIPCION</t>
  </si>
  <si>
    <t>0180.c200.0000</t>
  </si>
  <si>
    <t>0x0800 (IPv4)</t>
  </si>
  <si>
    <t>0100 (4)</t>
  </si>
  <si>
    <t xml:space="preserve">UDP </t>
  </si>
  <si>
    <t>Clase</t>
  </si>
  <si>
    <t>A</t>
  </si>
  <si>
    <t>B</t>
  </si>
  <si>
    <t>E</t>
  </si>
  <si>
    <t>PUBLICO</t>
  </si>
  <si>
    <t>PRIVADO</t>
  </si>
  <si>
    <t>Total</t>
  </si>
  <si>
    <t>0.0.0.0</t>
  </si>
  <si>
    <t>128.0.0.0</t>
  </si>
  <si>
    <t>192.0.0.0</t>
  </si>
  <si>
    <t>224.0.0.0</t>
  </si>
  <si>
    <t>240.0.0.0</t>
  </si>
  <si>
    <t>127.255.255.255</t>
  </si>
  <si>
    <t>191.255.255.255</t>
  </si>
  <si>
    <t>223.255.255.255</t>
  </si>
  <si>
    <t>239.255.255.255</t>
  </si>
  <si>
    <t>255.255.255.255</t>
  </si>
  <si>
    <t>10.0.0.0</t>
  </si>
  <si>
    <t>172.16.0.0</t>
  </si>
  <si>
    <t>192.168.0.0</t>
  </si>
  <si>
    <t>RESEARCH</t>
  </si>
  <si>
    <t>10.255.255.255</t>
  </si>
  <si>
    <t>172.31.255.255</t>
  </si>
  <si>
    <t>192.168.255.255</t>
  </si>
  <si>
    <t xml:space="preserve">BIN </t>
  </si>
  <si>
    <t>BIN</t>
  </si>
  <si>
    <t>00000000</t>
  </si>
  <si>
    <t>10000000</t>
  </si>
  <si>
    <t>11000000</t>
  </si>
  <si>
    <t>11100000</t>
  </si>
  <si>
    <t>11110000</t>
  </si>
  <si>
    <t>01111111</t>
  </si>
  <si>
    <t>10111111</t>
  </si>
  <si>
    <t>11011111</t>
  </si>
  <si>
    <t>11101111</t>
  </si>
  <si>
    <t>11111111</t>
  </si>
  <si>
    <t>DEC</t>
  </si>
  <si>
    <t>HEX</t>
  </si>
  <si>
    <t>OCT</t>
  </si>
  <si>
    <t>F</t>
  </si>
  <si>
    <t>0</t>
  </si>
  <si>
    <t>1</t>
  </si>
  <si>
    <t>2</t>
  </si>
  <si>
    <t>3</t>
  </si>
  <si>
    <t>4</t>
  </si>
  <si>
    <t>5</t>
  </si>
  <si>
    <t>6</t>
  </si>
  <si>
    <t>7</t>
  </si>
  <si>
    <t>000</t>
  </si>
  <si>
    <t>001</t>
  </si>
  <si>
    <t>010</t>
  </si>
  <si>
    <t>011</t>
  </si>
  <si>
    <t>100</t>
  </si>
  <si>
    <t>101</t>
  </si>
  <si>
    <t>110</t>
  </si>
  <si>
    <t>111</t>
  </si>
  <si>
    <t>---</t>
  </si>
  <si>
    <t>--x</t>
  </si>
  <si>
    <t>-w-</t>
  </si>
  <si>
    <t>-wx</t>
  </si>
  <si>
    <t>r--</t>
  </si>
  <si>
    <t>r-x</t>
  </si>
  <si>
    <t>rw-</t>
  </si>
  <si>
    <t>rwx</t>
  </si>
  <si>
    <t>Ninguno</t>
  </si>
  <si>
    <t>Ejecucion</t>
  </si>
  <si>
    <t>Escritura</t>
  </si>
  <si>
    <t>Ejecutar y Escribir</t>
  </si>
  <si>
    <t>Lectura</t>
  </si>
  <si>
    <t>Leer y Ejecutar</t>
  </si>
  <si>
    <t>Lectoescritura</t>
  </si>
  <si>
    <t>Control Total</t>
  </si>
  <si>
    <t>PERMISOS</t>
  </si>
  <si>
    <t>ORDEN</t>
  </si>
  <si>
    <t>Propietario</t>
  </si>
  <si>
    <t>Group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</si>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</sst>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theme="0" tint="-0.14999847407452621"/>
      </patternFill>
    </fill>
    <fill>
      <patternFill patternType="mediumGray">
        <fgColor theme="1"/>
        <bgColor theme="4" tint="-0.499984740745262"/>
      </patternFill>
    </fill>
    <fill>
      <patternFill patternType="mediumGray">
        <fgColor theme="1"/>
        <bgColor theme="4" tint="-0.249977111117893"/>
      </patternFill>
    </fill>
    <fill>
      <patternFill patternType="mediumGray">
        <fgColor theme="1"/>
        <bgColor theme="3" tint="0.249977111117893"/>
      </patternFill>
    </fill>
    <fill>
      <patternFill patternType="mediumGray">
        <fgColor theme="1"/>
        <bgColor theme="9" tint="-0.249977111117893"/>
      </patternFill>
    </fill>
    <fill>
      <patternFill patternType="mediumGray">
        <fgColor theme="1"/>
        <bgColor rgb="FFFF9900"/>
      </patternFill>
    </fill>
    <fill>
      <patternFill patternType="mediumGray">
        <fgColor theme="1"/>
        <bgColor theme="5" tint="-0.249977111117893"/>
      </patternFill>
    </fill>
    <fill>
      <patternFill patternType="mediumGray">
        <fgColor theme="1"/>
        <bgColor rgb="FFC0000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43" fontId="5" fillId="0" borderId="0" applyFont="0" applyFill="0" applyBorder="0" applyAlignment="0" applyProtection="0"/>
  </cellStyleXfs>
  <cellXfs count="81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6" borderId="9" xfId="0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49" fontId="0" fillId="0" borderId="0" xfId="0" applyNumberFormat="1"/>
    <xf numFmtId="0" fontId="2" fillId="5" borderId="12" xfId="0" applyFont="1" applyFill="1" applyBorder="1" applyAlignment="1">
      <alignment horizontal="center"/>
    </xf>
    <xf numFmtId="49" fontId="2" fillId="5" borderId="12" xfId="0" applyNumberFormat="1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0" fillId="6" borderId="12" xfId="0" applyFill="1" applyBorder="1"/>
    <xf numFmtId="0" fontId="0" fillId="6" borderId="12" xfId="0" applyFill="1" applyBorder="1" applyAlignment="1">
      <alignment horizontal="left" indent="1"/>
    </xf>
    <xf numFmtId="49" fontId="0" fillId="6" borderId="12" xfId="0" applyNumberFormat="1" applyFill="1" applyBorder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left"/>
    </xf>
    <xf numFmtId="0" fontId="0" fillId="0" borderId="0" xfId="0" applyAlignment="1">
      <alignment horizontal="left" indent="1"/>
    </xf>
    <xf numFmtId="0" fontId="0" fillId="6" borderId="0" xfId="0" applyFill="1" applyAlignment="1">
      <alignment horizontal="left" indent="1"/>
    </xf>
    <xf numFmtId="49" fontId="0" fillId="6" borderId="0" xfId="0" applyNumberFormat="1" applyFill="1" applyAlignment="1">
      <alignment horizontal="center"/>
    </xf>
    <xf numFmtId="0" fontId="0" fillId="6" borderId="3" xfId="0" applyFill="1" applyBorder="1"/>
    <xf numFmtId="0" fontId="0" fillId="6" borderId="3" xfId="0" applyFill="1" applyBorder="1" applyAlignment="1">
      <alignment horizontal="left" indent="1"/>
    </xf>
    <xf numFmtId="49" fontId="0" fillId="6" borderId="3" xfId="0" applyNumberFormat="1" applyFill="1" applyBorder="1" applyAlignment="1">
      <alignment horizontal="center"/>
    </xf>
    <xf numFmtId="0" fontId="0" fillId="6" borderId="3" xfId="0" applyFill="1" applyBorder="1" applyAlignment="1">
      <alignment horizontal="left"/>
    </xf>
    <xf numFmtId="0" fontId="0" fillId="0" borderId="3" xfId="0" applyBorder="1"/>
    <xf numFmtId="0" fontId="0" fillId="0" borderId="3" xfId="0" applyBorder="1" applyAlignment="1">
      <alignment horizontal="left" indent="1"/>
    </xf>
    <xf numFmtId="49" fontId="0" fillId="0" borderId="3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4" fillId="5" borderId="8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7" borderId="0" xfId="0" applyFont="1" applyFill="1" applyAlignment="1">
      <alignment horizontal="left" indent="1"/>
    </xf>
    <xf numFmtId="0" fontId="3" fillId="8" borderId="0" xfId="0" applyFont="1" applyFill="1" applyAlignment="1">
      <alignment horizontal="left" indent="1"/>
    </xf>
    <xf numFmtId="0" fontId="3" fillId="9" borderId="0" xfId="0" applyFont="1" applyFill="1" applyAlignment="1">
      <alignment horizontal="left" indent="1"/>
    </xf>
    <xf numFmtId="0" fontId="3" fillId="10" borderId="0" xfId="0" applyFont="1" applyFill="1" applyAlignment="1">
      <alignment horizontal="left" indent="1"/>
    </xf>
    <xf numFmtId="0" fontId="3" fillId="10" borderId="0" xfId="0" applyFont="1" applyFill="1" applyAlignment="1">
      <alignment horizontal="left" vertical="center" indent="1"/>
    </xf>
    <xf numFmtId="0" fontId="3" fillId="11" borderId="0" xfId="0" applyFont="1" applyFill="1" applyAlignment="1">
      <alignment horizontal="left" indent="1"/>
    </xf>
    <xf numFmtId="0" fontId="3" fillId="11" borderId="0" xfId="0" applyFont="1" applyFill="1" applyAlignment="1">
      <alignment horizontal="left" vertical="center" indent="1"/>
    </xf>
    <xf numFmtId="0" fontId="3" fillId="12" borderId="0" xfId="0" applyFont="1" applyFill="1" applyAlignment="1">
      <alignment horizontal="left" indent="1"/>
    </xf>
    <xf numFmtId="0" fontId="3" fillId="12" borderId="0" xfId="0" applyFont="1" applyFill="1" applyAlignment="1">
      <alignment horizontal="left" vertical="center" indent="1"/>
    </xf>
    <xf numFmtId="0" fontId="3" fillId="13" borderId="0" xfId="0" applyFont="1" applyFill="1" applyAlignment="1">
      <alignment horizontal="left" indent="1"/>
    </xf>
    <xf numFmtId="0" fontId="3" fillId="13" borderId="0" xfId="0" applyFont="1" applyFill="1" applyAlignment="1">
      <alignment horizontal="left" vertical="center" indent="1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0" fontId="2" fillId="5" borderId="13" xfId="0" applyFont="1" applyFill="1" applyBorder="1"/>
    <xf numFmtId="0" fontId="0" fillId="0" borderId="11" xfId="0" applyBorder="1"/>
    <xf numFmtId="0" fontId="2" fillId="5" borderId="12" xfId="0" applyFont="1" applyFill="1" applyBorder="1"/>
    <xf numFmtId="0" fontId="2" fillId="5" borderId="0" xfId="0" applyFont="1" applyFill="1"/>
    <xf numFmtId="0" fontId="2" fillId="5" borderId="11" xfId="0" applyFont="1" applyFill="1" applyBorder="1"/>
    <xf numFmtId="0" fontId="0" fillId="6" borderId="11" xfId="0" applyFill="1" applyBorder="1"/>
    <xf numFmtId="0" fontId="0" fillId="6" borderId="0" xfId="0" applyFill="1" applyAlignment="1">
      <alignment horizontal="right"/>
    </xf>
    <xf numFmtId="0" fontId="0" fillId="6" borderId="12" xfId="0" applyFill="1" applyBorder="1" applyAlignment="1">
      <alignment horizontal="center"/>
    </xf>
    <xf numFmtId="0" fontId="2" fillId="5" borderId="12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6" fillId="0" borderId="11" xfId="0" applyFont="1" applyBorder="1" applyAlignment="1">
      <alignment horizontal="center"/>
    </xf>
    <xf numFmtId="3" fontId="6" fillId="0" borderId="11" xfId="0" applyNumberFormat="1" applyFont="1" applyBorder="1" applyAlignment="1">
      <alignment horizontal="center"/>
    </xf>
    <xf numFmtId="0" fontId="0" fillId="0" borderId="11" xfId="0" applyBorder="1" applyAlignment="1">
      <alignment horizontal="right"/>
    </xf>
    <xf numFmtId="49" fontId="0" fillId="0" borderId="0" xfId="0" applyNumberFormat="1" applyAlignment="1">
      <alignment horizontal="right"/>
    </xf>
    <xf numFmtId="49" fontId="6" fillId="0" borderId="0" xfId="0" applyNumberFormat="1" applyFont="1" applyAlignment="1">
      <alignment horizontal="right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right" indent="1"/>
    </xf>
    <xf numFmtId="0" fontId="0" fillId="0" borderId="6" xfId="0" applyBorder="1" applyAlignment="1">
      <alignment horizontal="right" indent="1"/>
    </xf>
    <xf numFmtId="0" fontId="0" fillId="0" borderId="7" xfId="0" applyBorder="1" applyAlignment="1">
      <alignment horizontal="right" indent="1"/>
    </xf>
    <xf numFmtId="0" fontId="0" fillId="0" borderId="5" xfId="0" applyBorder="1" applyAlignment="1">
      <alignment horizontal="left" indent="1"/>
    </xf>
    <xf numFmtId="0" fontId="0" fillId="0" borderId="6" xfId="0" applyBorder="1" applyAlignment="1">
      <alignment horizontal="left" indent="1"/>
    </xf>
    <xf numFmtId="0" fontId="0" fillId="0" borderId="7" xfId="0" applyBorder="1" applyAlignment="1">
      <alignment horizontal="left" indent="1"/>
    </xf>
    <xf numFmtId="0" fontId="3" fillId="2" borderId="11" xfId="1" applyBorder="1" applyAlignment="1">
      <alignment horizontal="center"/>
    </xf>
    <xf numFmtId="0" fontId="3" fillId="2" borderId="0" xfId="1" applyAlignment="1">
      <alignment horizontal="center"/>
    </xf>
    <xf numFmtId="0" fontId="2" fillId="5" borderId="13" xfId="0" applyFont="1" applyFill="1" applyBorder="1" applyAlignment="1">
      <alignment horizontal="left" indent="1"/>
    </xf>
    <xf numFmtId="0" fontId="3" fillId="7" borderId="0" xfId="0" applyFont="1" applyFill="1" applyAlignment="1">
      <alignment horizontal="left" vertical="center" indent="1"/>
    </xf>
    <xf numFmtId="0" fontId="3" fillId="12" borderId="0" xfId="0" applyFont="1" applyFill="1" applyAlignment="1">
      <alignment horizontal="left" vertical="center" indent="1"/>
    </xf>
    <xf numFmtId="0" fontId="3" fillId="7" borderId="0" xfId="0" applyFont="1" applyFill="1" applyAlignment="1">
      <alignment horizontal="left" vertical="center" wrapText="1" indent="1"/>
    </xf>
    <xf numFmtId="0" fontId="0" fillId="6" borderId="12" xfId="0" applyFill="1" applyBorder="1" applyAlignment="1">
      <alignment horizontal="left" indent="1"/>
    </xf>
    <xf numFmtId="0" fontId="0" fillId="0" borderId="0" xfId="0" applyAlignment="1">
      <alignment horizontal="left" indent="1"/>
    </xf>
    <xf numFmtId="0" fontId="0" fillId="6" borderId="11" xfId="0" applyFill="1" applyBorder="1" applyAlignment="1">
      <alignment horizontal="left" indent="1"/>
    </xf>
    <xf numFmtId="49" fontId="0" fillId="0" borderId="0" xfId="0" applyNumberFormat="1" applyAlignment="1">
      <alignment horizontal="center"/>
    </xf>
    <xf numFmtId="164" fontId="0" fillId="0" borderId="0" xfId="2" applyNumberFormat="1" applyFont="1" applyAlignment="1">
      <alignment horizontal="center" vertical="center"/>
    </xf>
    <xf numFmtId="0" fontId="0" fillId="0" borderId="0" xfId="0" quotePrefix="1"/>
  </cellXfs>
  <cellStyles count="3">
    <cellStyle name="Énfasis1" xfId="1" builtinId="29"/>
    <cellStyle name="Millares" xfId="2" builtinId="3"/>
    <cellStyle name="Normal" xfId="0" builtinId="0"/>
  </cellStyles>
  <dxfs count="12"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top style="medium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BD596F1-8187-48AD-A770-ECD0D83DD409}" name="Tabla5" displayName="Tabla5" ref="A1:B6" totalsRowShown="0">
  <autoFilter ref="A1:B6" xr:uid="{8BD596F1-8187-48AD-A770-ECD0D83DD409}"/>
  <tableColumns count="2">
    <tableColumn id="1" xr3:uid="{16412166-6806-49A6-8A76-2C57555AE578}" name="ETHERNET"/>
    <tableColumn id="2" xr3:uid="{4059F672-4C51-4DBD-887A-E6C3AB5B42C4}" name="EJEMPLO" dataDxfId="11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EFC7C69-423A-4037-823D-B3D1C6CE32AF}" name="Tabla6" displayName="Tabla6" ref="D1:E6" totalsRowShown="0">
  <autoFilter ref="D1:E6" xr:uid="{7EFC7C69-423A-4037-823D-B3D1C6CE32AF}"/>
  <tableColumns count="2">
    <tableColumn id="1" xr3:uid="{8F932B49-C9C7-4741-AE77-6700E1E04F7A}" name="ARP"/>
    <tableColumn id="2" xr3:uid="{AA30F081-100A-4F91-A5D1-91ADC022F282}" name="EJEMPLO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EC927FF-E91A-45E2-ABF7-94344CA4FD86}" name="Tabla58" displayName="Tabla58" ref="A8:B13" totalsRowShown="0">
  <autoFilter ref="A8:B13" xr:uid="{9EC927FF-E91A-45E2-ABF7-94344CA4FD86}"/>
  <tableColumns count="2">
    <tableColumn id="1" xr3:uid="{9FDDC075-BA29-4E23-8B93-0669E55677F6}" name="ETHERNET"/>
    <tableColumn id="2" xr3:uid="{35A287F2-258E-4D1D-A0A0-84E3BE38046C}" name="EJEMPLO" dataDxfId="10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B209C23-92F8-4B29-8DE2-5F8BF2A75FBD}" name="Tabla611" displayName="Tabla611" ref="D8:E13" totalsRowShown="0">
  <autoFilter ref="D8:E13" xr:uid="{1B209C23-92F8-4B29-8DE2-5F8BF2A75FBD}"/>
  <tableColumns count="2">
    <tableColumn id="1" xr3:uid="{9CB76D8A-2370-4030-BB50-D5A772AF17D0}" name="ARP"/>
    <tableColumn id="2" xr3:uid="{2D9C22FF-2977-46BD-96D7-302B01D80085}" name="EJEMPLO"/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F086F8-F65E-455D-A67A-8C950A8413AE}" name="Tabla4" displayName="Tabla4" ref="A1:B7" totalsRowShown="0">
  <autoFilter ref="A1:B7" xr:uid="{44F086F8-F65E-455D-A67A-8C950A8413AE}"/>
  <tableColumns count="2">
    <tableColumn id="1" xr3:uid="{FC9D1EB7-7AD0-40FF-AD53-F50391CFA555}" name="IPv4"/>
    <tableColumn id="2" xr3:uid="{30CFA4BB-7536-4CC3-B3AB-8EA26AEA08CA}" name="EJEMPLO" dataDxfId="9"/>
  </tableColumns>
  <tableStyleInfo name="TableStyleMedium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3024AB-B1A3-465A-BED0-E7AD1A5BD48F}" name="Tabla2" displayName="Tabla2" ref="A1:B7" totalsRowShown="0" headerRowDxfId="8" tableBorderDxfId="7">
  <autoFilter ref="A1:B7" xr:uid="{743024AB-B1A3-465A-BED0-E7AD1A5BD48F}"/>
  <tableColumns count="2">
    <tableColumn id="1" xr3:uid="{7CC5C3E3-99F7-406B-BE33-6498B71C96B5}" name="TCP" dataDxfId="6"/>
    <tableColumn id="2" xr3:uid="{DFE11A21-5EAF-4D74-8E80-946C3D01C1E9}" name="EJEMPLO"/>
  </tableColumns>
  <tableStyleInfo name="TableStyleMedium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11471CA-6650-48C8-8EC8-4C882BF84B6D}" name="Tabla3" displayName="Tabla3" ref="D1:E5" totalsRowShown="0" headerRowDxfId="5" headerRowBorderDxfId="4" tableBorderDxfId="3">
  <autoFilter ref="D1:E5" xr:uid="{111471CA-6650-48C8-8EC8-4C882BF84B6D}"/>
  <tableColumns count="2">
    <tableColumn id="1" xr3:uid="{D6C9935A-7A1F-4112-B3D6-F92843577E9E}" name="UDP "/>
    <tableColumn id="2" xr3:uid="{0C921597-5962-46B5-A408-FAF1D8CFE85A}" name="EJEMPLO"/>
  </tableColumns>
  <tableStyleInfo name="TableStyleMedium1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49B0AFB-4411-4BA3-9597-4305D7D964A7}" name="Tabla314" displayName="Tabla314" ref="D7:E11" totalsRowShown="0" headerRowDxfId="2" headerRowBorderDxfId="1" tableBorderDxfId="0">
  <autoFilter ref="D7:E11" xr:uid="{C49B0AFB-4411-4BA3-9597-4305D7D964A7}"/>
  <tableColumns count="2">
    <tableColumn id="1" xr3:uid="{B6A9C988-3650-4A08-8C2D-DE663BBA1EBC}" name="UDP "/>
    <tableColumn id="2" xr3:uid="{A846B633-9F69-4FA1-B3C6-4FB6EAE3A134}" name="EJEMPLO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A65E2-9518-4EDE-8A83-A20AFC9B7899}">
  <dimension ref="A1:AA6"/>
  <sheetViews>
    <sheetView zoomScale="132" workbookViewId="0">
      <selection activeCell="F16" sqref="F16"/>
    </sheetView>
  </sheetViews>
  <sheetFormatPr baseColWidth="10" defaultColWidth="4.28515625" defaultRowHeight="15" x14ac:dyDescent="0.25"/>
  <sheetData>
    <row r="1" spans="1:27" x14ac:dyDescent="0.25">
      <c r="A1" s="62" t="s">
        <v>55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</row>
    <row r="2" spans="1:27" x14ac:dyDescent="0.25">
      <c r="A2" s="3" t="s">
        <v>0</v>
      </c>
      <c r="B2" s="3" t="s">
        <v>56</v>
      </c>
      <c r="C2" s="3" t="s">
        <v>57</v>
      </c>
      <c r="D2" s="3" t="s">
        <v>58</v>
      </c>
      <c r="E2" s="3" t="s">
        <v>59</v>
      </c>
      <c r="F2" s="3" t="s">
        <v>57</v>
      </c>
      <c r="G2" s="3" t="s">
        <v>60</v>
      </c>
      <c r="H2" s="3" t="s">
        <v>61</v>
      </c>
      <c r="I2" s="3"/>
      <c r="J2" s="3" t="s">
        <v>1</v>
      </c>
      <c r="K2" s="3" t="s">
        <v>60</v>
      </c>
      <c r="L2" s="3" t="s">
        <v>62</v>
      </c>
      <c r="M2" s="3" t="s">
        <v>57</v>
      </c>
      <c r="N2" s="3" t="s">
        <v>60</v>
      </c>
      <c r="O2" s="3" t="s">
        <v>61</v>
      </c>
      <c r="P2" s="3"/>
      <c r="Q2" s="3" t="s">
        <v>2</v>
      </c>
      <c r="R2" s="3" t="s">
        <v>60</v>
      </c>
      <c r="S2" s="3" t="s">
        <v>63</v>
      </c>
      <c r="T2" s="3" t="s">
        <v>64</v>
      </c>
      <c r="U2" s="3" t="s">
        <v>65</v>
      </c>
      <c r="V2" s="3" t="s">
        <v>66</v>
      </c>
      <c r="W2" s="3"/>
      <c r="X2" s="3"/>
      <c r="Y2" s="3"/>
      <c r="Z2" s="3"/>
      <c r="AA2" t="s">
        <v>67</v>
      </c>
    </row>
    <row r="3" spans="1:27" x14ac:dyDescent="0.25">
      <c r="A3" s="4" t="str">
        <f t="shared" ref="A3:Z3" si="0">IFERROR(CHAR(ABS(CODE(UPPER(A2)) - 64 - 27) + 64),"")</f>
        <v>X</v>
      </c>
      <c r="B3" s="5" t="str">
        <f t="shared" si="0"/>
        <v>I</v>
      </c>
      <c r="C3" s="5" t="str">
        <f t="shared" si="0"/>
        <v>R</v>
      </c>
      <c r="D3" s="5" t="str">
        <f t="shared" si="0"/>
        <v>H</v>
      </c>
      <c r="E3" s="5" t="str">
        <f t="shared" si="0"/>
        <v>G</v>
      </c>
      <c r="F3" s="5" t="str">
        <f t="shared" si="0"/>
        <v>R</v>
      </c>
      <c r="G3" s="5" t="str">
        <f t="shared" si="0"/>
        <v>Z</v>
      </c>
      <c r="H3" s="5" t="str">
        <f t="shared" si="0"/>
        <v>M</v>
      </c>
      <c r="I3" s="5" t="str">
        <f t="shared" si="0"/>
        <v/>
      </c>
      <c r="J3" s="5" t="str">
        <f t="shared" si="0"/>
        <v>W</v>
      </c>
      <c r="K3" s="5" t="str">
        <f t="shared" si="0"/>
        <v>Z</v>
      </c>
      <c r="L3" s="5" t="str">
        <f t="shared" si="0"/>
        <v>N</v>
      </c>
      <c r="M3" s="5" t="str">
        <f t="shared" si="0"/>
        <v>R</v>
      </c>
      <c r="N3" s="5" t="str">
        <f t="shared" si="0"/>
        <v>Z</v>
      </c>
      <c r="O3" s="5" t="str">
        <f t="shared" si="0"/>
        <v>M</v>
      </c>
      <c r="P3" s="5" t="str">
        <f t="shared" si="0"/>
        <v/>
      </c>
      <c r="Q3" s="5" t="str">
        <f t="shared" si="0"/>
        <v>I</v>
      </c>
      <c r="R3" s="5" t="str">
        <f t="shared" si="0"/>
        <v>Z</v>
      </c>
      <c r="S3" s="5" t="str">
        <f t="shared" si="0"/>
        <v>X</v>
      </c>
      <c r="T3" s="5" t="str">
        <f t="shared" si="0"/>
        <v>V</v>
      </c>
      <c r="U3" s="5" t="str">
        <f t="shared" si="0"/>
        <v>W</v>
      </c>
      <c r="V3" s="5" t="str">
        <f t="shared" si="0"/>
        <v>L</v>
      </c>
      <c r="W3" s="5" t="str">
        <f t="shared" si="0"/>
        <v/>
      </c>
      <c r="X3" s="5" t="str">
        <f t="shared" si="0"/>
        <v/>
      </c>
      <c r="Y3" s="5" t="str">
        <f t="shared" si="0"/>
        <v/>
      </c>
      <c r="Z3" s="6" t="str">
        <f t="shared" si="0"/>
        <v/>
      </c>
      <c r="AA3" t="s">
        <v>68</v>
      </c>
    </row>
    <row r="4" spans="1:27" x14ac:dyDescent="0.25">
      <c r="A4" s="63" t="s">
        <v>69</v>
      </c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5"/>
      <c r="S4" s="66" t="s">
        <v>70</v>
      </c>
      <c r="T4" s="67"/>
      <c r="U4" s="67"/>
      <c r="V4" s="67"/>
      <c r="W4" s="67"/>
      <c r="X4" s="67"/>
      <c r="Y4" s="68"/>
      <c r="Z4" s="2">
        <v>4</v>
      </c>
    </row>
    <row r="5" spans="1:27" x14ac:dyDescent="0.25">
      <c r="A5" s="3" t="s">
        <v>0</v>
      </c>
      <c r="B5" s="3" t="s">
        <v>56</v>
      </c>
      <c r="C5" s="3" t="s">
        <v>57</v>
      </c>
      <c r="D5" s="3" t="s">
        <v>58</v>
      </c>
      <c r="E5" s="3" t="s">
        <v>59</v>
      </c>
      <c r="F5" s="3" t="s">
        <v>57</v>
      </c>
      <c r="G5" s="3" t="s">
        <v>60</v>
      </c>
      <c r="H5" s="3" t="s">
        <v>61</v>
      </c>
      <c r="I5" s="3"/>
      <c r="J5" s="3" t="s">
        <v>1</v>
      </c>
      <c r="K5" s="3" t="s">
        <v>60</v>
      </c>
      <c r="L5" s="3" t="s">
        <v>62</v>
      </c>
      <c r="M5" s="3" t="s">
        <v>57</v>
      </c>
      <c r="N5" s="3" t="s">
        <v>60</v>
      </c>
      <c r="O5" s="3" t="s">
        <v>61</v>
      </c>
      <c r="P5" s="3"/>
      <c r="Q5" s="3" t="s">
        <v>2</v>
      </c>
      <c r="R5" s="3" t="s">
        <v>60</v>
      </c>
      <c r="S5" s="3" t="s">
        <v>63</v>
      </c>
      <c r="T5" s="3" t="s">
        <v>64</v>
      </c>
      <c r="U5" s="3" t="s">
        <v>65</v>
      </c>
      <c r="V5" s="3" t="s">
        <v>66</v>
      </c>
      <c r="W5" s="3"/>
      <c r="X5" s="3"/>
      <c r="Y5" s="3"/>
      <c r="Z5" s="3"/>
      <c r="AA5" t="s">
        <v>67</v>
      </c>
    </row>
    <row r="6" spans="1:27" x14ac:dyDescent="0.25">
      <c r="A6" s="4" t="str">
        <f>IFERROR(CHAR(65 + MOD(CODE(UPPER(A5)) - 65 +_xlfn.SINGLE( DESPLAZAMIENTO), 26)),"")</f>
        <v>G</v>
      </c>
      <c r="B6" s="5" t="str">
        <f t="shared" ref="B6:Z6" si="1">IFERROR(CHAR(65 + MOD(CODE(UPPER(B5)) - 65 +_xlfn.SINGLE( DESPLAZAMIENTO), 26)),"")</f>
        <v>V</v>
      </c>
      <c r="C6" s="5" t="str">
        <f t="shared" si="1"/>
        <v>M</v>
      </c>
      <c r="D6" s="5" t="str">
        <f t="shared" si="1"/>
        <v>W</v>
      </c>
      <c r="E6" s="5" t="str">
        <f t="shared" si="1"/>
        <v>X</v>
      </c>
      <c r="F6" s="5" t="str">
        <f t="shared" si="1"/>
        <v>M</v>
      </c>
      <c r="G6" s="5" t="str">
        <f t="shared" si="1"/>
        <v>E</v>
      </c>
      <c r="H6" s="5" t="str">
        <f t="shared" si="1"/>
        <v>R</v>
      </c>
      <c r="I6" s="5" t="str">
        <f t="shared" si="1"/>
        <v/>
      </c>
      <c r="J6" s="5" t="str">
        <f t="shared" si="1"/>
        <v>H</v>
      </c>
      <c r="K6" s="5" t="str">
        <f t="shared" si="1"/>
        <v>E</v>
      </c>
      <c r="L6" s="5" t="str">
        <f t="shared" si="1"/>
        <v>Q</v>
      </c>
      <c r="M6" s="5" t="str">
        <f t="shared" si="1"/>
        <v>M</v>
      </c>
      <c r="N6" s="5" t="str">
        <f t="shared" si="1"/>
        <v>E</v>
      </c>
      <c r="O6" s="5" t="str">
        <f t="shared" si="1"/>
        <v>R</v>
      </c>
      <c r="P6" s="5" t="str">
        <f t="shared" si="1"/>
        <v/>
      </c>
      <c r="Q6" s="5" t="str">
        <f t="shared" si="1"/>
        <v>V</v>
      </c>
      <c r="R6" s="5" t="str">
        <f t="shared" si="1"/>
        <v>E</v>
      </c>
      <c r="S6" s="5" t="str">
        <f t="shared" si="1"/>
        <v>G</v>
      </c>
      <c r="T6" s="5" t="str">
        <f t="shared" si="1"/>
        <v>I</v>
      </c>
      <c r="U6" s="5" t="str">
        <f t="shared" si="1"/>
        <v>H</v>
      </c>
      <c r="V6" s="5" t="str">
        <f t="shared" si="1"/>
        <v>S</v>
      </c>
      <c r="W6" s="5" t="str">
        <f t="shared" si="1"/>
        <v/>
      </c>
      <c r="X6" s="5" t="str">
        <f t="shared" si="1"/>
        <v/>
      </c>
      <c r="Y6" s="5" t="str">
        <f t="shared" si="1"/>
        <v/>
      </c>
      <c r="Z6" s="6" t="str">
        <f t="shared" si="1"/>
        <v/>
      </c>
      <c r="AA6" t="s">
        <v>68</v>
      </c>
    </row>
  </sheetData>
  <mergeCells count="3">
    <mergeCell ref="A1:Z1"/>
    <mergeCell ref="A4:R4"/>
    <mergeCell ref="S4:Y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DF75F-50C9-4D99-BE7A-088D415A6787}">
  <dimension ref="A1:H16"/>
  <sheetViews>
    <sheetView zoomScale="150" workbookViewId="0">
      <selection activeCell="F5" sqref="F5"/>
    </sheetView>
  </sheetViews>
  <sheetFormatPr baseColWidth="10" defaultColWidth="3.140625" defaultRowHeight="15" x14ac:dyDescent="0.25"/>
  <cols>
    <col min="1" max="1" width="10.42578125" bestFit="1" customWidth="1"/>
    <col min="2" max="2" width="9" bestFit="1" customWidth="1"/>
    <col min="3" max="3" width="7.42578125" bestFit="1" customWidth="1"/>
    <col min="4" max="4" width="5.5703125" bestFit="1" customWidth="1"/>
    <col min="6" max="6" width="12.7109375" bestFit="1" customWidth="1"/>
    <col min="7" max="7" width="17.85546875" bestFit="1" customWidth="1"/>
    <col min="8" max="8" width="6.140625" bestFit="1" customWidth="1"/>
  </cols>
  <sheetData>
    <row r="1" spans="1:8" ht="16.5" thickTop="1" thickBot="1" x14ac:dyDescent="0.3">
      <c r="A1" s="31" t="s">
        <v>3</v>
      </c>
      <c r="B1" s="30" t="s">
        <v>4</v>
      </c>
      <c r="C1" s="7" t="s">
        <v>5</v>
      </c>
      <c r="D1" s="9" t="s">
        <v>71</v>
      </c>
      <c r="F1" s="8" t="s">
        <v>72</v>
      </c>
      <c r="G1" s="7" t="s">
        <v>73</v>
      </c>
      <c r="H1" s="9">
        <v>8</v>
      </c>
    </row>
    <row r="2" spans="1:8" ht="15.75" thickTop="1" x14ac:dyDescent="0.25">
      <c r="D2" s="10"/>
      <c r="E2" s="10"/>
    </row>
    <row r="3" spans="1:8" ht="15.75" thickBot="1" x14ac:dyDescent="0.3">
      <c r="A3" s="69" t="s">
        <v>6</v>
      </c>
      <c r="B3" s="69"/>
      <c r="C3" s="69"/>
      <c r="D3" s="69"/>
      <c r="E3" s="10"/>
      <c r="F3" s="70" t="s">
        <v>74</v>
      </c>
      <c r="G3" s="70"/>
      <c r="H3" s="70"/>
    </row>
    <row r="4" spans="1:8" ht="15.75" thickBot="1" x14ac:dyDescent="0.3">
      <c r="A4" s="11" t="s">
        <v>75</v>
      </c>
      <c r="B4" s="11" t="s">
        <v>76</v>
      </c>
      <c r="C4" s="11" t="s">
        <v>77</v>
      </c>
      <c r="D4" s="12" t="s">
        <v>78</v>
      </c>
      <c r="E4" s="13"/>
      <c r="F4" s="14" t="s">
        <v>75</v>
      </c>
      <c r="G4" s="14" t="s">
        <v>76</v>
      </c>
      <c r="H4" s="14" t="s">
        <v>77</v>
      </c>
    </row>
    <row r="5" spans="1:8" x14ac:dyDescent="0.25">
      <c r="A5" s="15" t="s">
        <v>7</v>
      </c>
      <c r="B5" s="15" t="s">
        <v>8</v>
      </c>
      <c r="C5" s="16" t="s">
        <v>9</v>
      </c>
      <c r="D5" s="17" t="s">
        <v>10</v>
      </c>
      <c r="E5" s="13"/>
      <c r="F5" s="18" t="s">
        <v>79</v>
      </c>
      <c r="G5" s="18" t="s">
        <v>80</v>
      </c>
      <c r="H5" s="19" t="s">
        <v>9</v>
      </c>
    </row>
    <row r="6" spans="1:8" x14ac:dyDescent="0.25">
      <c r="A6" t="s">
        <v>11</v>
      </c>
      <c r="B6" t="s">
        <v>22</v>
      </c>
      <c r="C6" s="20" t="s">
        <v>33</v>
      </c>
      <c r="D6" s="13" t="s">
        <v>44</v>
      </c>
      <c r="E6" s="10"/>
      <c r="F6" t="s">
        <v>81</v>
      </c>
      <c r="G6" t="s">
        <v>94</v>
      </c>
      <c r="H6" s="1" t="s">
        <v>33</v>
      </c>
    </row>
    <row r="7" spans="1:8" x14ac:dyDescent="0.25">
      <c r="A7" s="18" t="s">
        <v>12</v>
      </c>
      <c r="B7" s="18" t="s">
        <v>23</v>
      </c>
      <c r="C7" s="21" t="s">
        <v>34</v>
      </c>
      <c r="D7" s="22" t="s">
        <v>46</v>
      </c>
      <c r="E7" s="10"/>
      <c r="F7" s="18" t="s">
        <v>82</v>
      </c>
      <c r="G7" s="18" t="s">
        <v>95</v>
      </c>
      <c r="H7" s="19" t="s">
        <v>34</v>
      </c>
    </row>
    <row r="8" spans="1:8" x14ac:dyDescent="0.25">
      <c r="A8" t="s">
        <v>13</v>
      </c>
      <c r="B8" t="s">
        <v>24</v>
      </c>
      <c r="C8" s="20" t="s">
        <v>35</v>
      </c>
      <c r="D8" s="13" t="s">
        <v>45</v>
      </c>
      <c r="E8" s="10"/>
      <c r="F8" t="s">
        <v>83</v>
      </c>
      <c r="G8" t="s">
        <v>96</v>
      </c>
      <c r="H8" s="1" t="s">
        <v>35</v>
      </c>
    </row>
    <row r="9" spans="1:8" x14ac:dyDescent="0.25">
      <c r="A9" s="23" t="s">
        <v>14</v>
      </c>
      <c r="B9" s="23" t="s">
        <v>25</v>
      </c>
      <c r="C9" s="24" t="s">
        <v>36</v>
      </c>
      <c r="D9" s="25" t="s">
        <v>47</v>
      </c>
      <c r="E9" s="10"/>
      <c r="F9" s="23" t="s">
        <v>84</v>
      </c>
      <c r="G9" s="23" t="s">
        <v>97</v>
      </c>
      <c r="H9" s="26" t="s">
        <v>36</v>
      </c>
    </row>
    <row r="10" spans="1:8" x14ac:dyDescent="0.25">
      <c r="A10" t="s">
        <v>15</v>
      </c>
      <c r="B10" t="s">
        <v>26</v>
      </c>
      <c r="C10" s="20" t="s">
        <v>37</v>
      </c>
      <c r="D10" s="13" t="s">
        <v>48</v>
      </c>
      <c r="E10" s="10"/>
    </row>
    <row r="11" spans="1:8" ht="15.75" thickBot="1" x14ac:dyDescent="0.3">
      <c r="A11" s="18" t="s">
        <v>16</v>
      </c>
      <c r="B11" s="18" t="s">
        <v>31</v>
      </c>
      <c r="C11" s="21" t="s">
        <v>38</v>
      </c>
      <c r="D11" s="22" t="s">
        <v>53</v>
      </c>
      <c r="E11" s="10"/>
      <c r="F11" s="70" t="s">
        <v>85</v>
      </c>
      <c r="G11" s="70"/>
      <c r="H11" s="70"/>
    </row>
    <row r="12" spans="1:8" ht="15.75" thickBot="1" x14ac:dyDescent="0.3">
      <c r="A12" t="s">
        <v>17</v>
      </c>
      <c r="B12" t="s">
        <v>27</v>
      </c>
      <c r="C12" s="20" t="s">
        <v>39</v>
      </c>
      <c r="D12" s="13" t="s">
        <v>49</v>
      </c>
      <c r="E12" s="10"/>
      <c r="F12" s="14" t="s">
        <v>75</v>
      </c>
      <c r="G12" s="14" t="s">
        <v>76</v>
      </c>
      <c r="H12" s="14" t="s">
        <v>77</v>
      </c>
    </row>
    <row r="13" spans="1:8" x14ac:dyDescent="0.25">
      <c r="A13" s="18" t="s">
        <v>18</v>
      </c>
      <c r="B13" s="18" t="s">
        <v>28</v>
      </c>
      <c r="C13" s="21" t="s">
        <v>40</v>
      </c>
      <c r="D13" s="22" t="s">
        <v>50</v>
      </c>
      <c r="E13" s="10"/>
      <c r="F13" s="18" t="s">
        <v>86</v>
      </c>
      <c r="G13" s="18" t="s">
        <v>87</v>
      </c>
      <c r="H13" s="18" t="s">
        <v>9</v>
      </c>
    </row>
    <row r="14" spans="1:8" x14ac:dyDescent="0.25">
      <c r="A14" s="27" t="s">
        <v>19</v>
      </c>
      <c r="B14" s="27" t="s">
        <v>29</v>
      </c>
      <c r="C14" s="28" t="s">
        <v>41</v>
      </c>
      <c r="D14" s="29" t="s">
        <v>51</v>
      </c>
      <c r="E14" s="10"/>
      <c r="F14" t="s">
        <v>88</v>
      </c>
      <c r="G14" t="s">
        <v>89</v>
      </c>
      <c r="H14" t="s">
        <v>33</v>
      </c>
    </row>
    <row r="15" spans="1:8" x14ac:dyDescent="0.25">
      <c r="A15" s="18" t="s">
        <v>20</v>
      </c>
      <c r="B15" s="18" t="s">
        <v>30</v>
      </c>
      <c r="C15" s="21" t="s">
        <v>42</v>
      </c>
      <c r="D15" s="22" t="s">
        <v>54</v>
      </c>
      <c r="E15" s="10"/>
      <c r="F15" s="18" t="s">
        <v>90</v>
      </c>
      <c r="G15" s="18" t="s">
        <v>91</v>
      </c>
      <c r="H15" s="18" t="s">
        <v>34</v>
      </c>
    </row>
    <row r="16" spans="1:8" x14ac:dyDescent="0.25">
      <c r="A16" s="27" t="s">
        <v>21</v>
      </c>
      <c r="B16" s="27" t="s">
        <v>32</v>
      </c>
      <c r="C16" s="28" t="s">
        <v>43</v>
      </c>
      <c r="D16" s="29" t="s">
        <v>52</v>
      </c>
      <c r="E16" s="10"/>
      <c r="F16" s="27" t="s">
        <v>92</v>
      </c>
      <c r="G16" s="27" t="s">
        <v>93</v>
      </c>
      <c r="H16" s="27" t="s">
        <v>35</v>
      </c>
    </row>
  </sheetData>
  <mergeCells count="3">
    <mergeCell ref="A3:D3"/>
    <mergeCell ref="F3:H3"/>
    <mergeCell ref="F11:H1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CD719-EB61-4BC0-8AA0-D1D0CBFEE446}">
  <dimension ref="A1:J9"/>
  <sheetViews>
    <sheetView topLeftCell="C1" zoomScale="140" workbookViewId="0">
      <selection activeCell="G6" sqref="G6"/>
    </sheetView>
  </sheetViews>
  <sheetFormatPr baseColWidth="10" defaultRowHeight="15" x14ac:dyDescent="0.25"/>
  <cols>
    <col min="1" max="1" width="2.140625" bestFit="1" customWidth="1"/>
    <col min="2" max="2" width="16.140625" bestFit="1" customWidth="1"/>
    <col min="3" max="3" width="11" bestFit="1" customWidth="1"/>
    <col min="4" max="4" width="35.85546875" customWidth="1"/>
    <col min="5" max="5" width="15.28515625" bestFit="1" customWidth="1"/>
    <col min="6" max="6" width="3" customWidth="1"/>
    <col min="7" max="7" width="11.7109375" bestFit="1" customWidth="1"/>
    <col min="8" max="8" width="14.5703125" bestFit="1" customWidth="1"/>
    <col min="9" max="9" width="14.140625" bestFit="1" customWidth="1"/>
    <col min="10" max="10" width="14.7109375" bestFit="1" customWidth="1"/>
  </cols>
  <sheetData>
    <row r="1" spans="1:10" ht="15.75" thickBot="1" x14ac:dyDescent="0.3">
      <c r="B1" t="s">
        <v>98</v>
      </c>
      <c r="C1" t="s">
        <v>107</v>
      </c>
      <c r="D1" t="s">
        <v>108</v>
      </c>
      <c r="E1" t="s">
        <v>99</v>
      </c>
      <c r="G1" s="48" t="s">
        <v>174</v>
      </c>
      <c r="H1" s="71" t="s">
        <v>175</v>
      </c>
      <c r="I1" s="71"/>
      <c r="J1" s="71"/>
    </row>
    <row r="2" spans="1:10" x14ac:dyDescent="0.25">
      <c r="A2">
        <v>7</v>
      </c>
      <c r="B2" s="33" t="s">
        <v>100</v>
      </c>
      <c r="C2" s="72" t="s">
        <v>113</v>
      </c>
      <c r="D2" s="74" t="s">
        <v>118</v>
      </c>
      <c r="E2" s="72" t="s">
        <v>100</v>
      </c>
      <c r="G2" s="15" t="s">
        <v>126</v>
      </c>
      <c r="H2" s="75" t="s">
        <v>129</v>
      </c>
      <c r="I2" s="75"/>
      <c r="J2" s="75"/>
    </row>
    <row r="3" spans="1:10" x14ac:dyDescent="0.25">
      <c r="A3">
        <v>6</v>
      </c>
      <c r="B3" s="34" t="s">
        <v>101</v>
      </c>
      <c r="C3" s="72"/>
      <c r="D3" s="74"/>
      <c r="E3" s="72"/>
      <c r="G3" t="s">
        <v>127</v>
      </c>
      <c r="H3" s="76" t="s">
        <v>130</v>
      </c>
      <c r="I3" s="76"/>
      <c r="J3" s="76"/>
    </row>
    <row r="4" spans="1:10" ht="15.75" thickBot="1" x14ac:dyDescent="0.3">
      <c r="A4">
        <v>5</v>
      </c>
      <c r="B4" s="35" t="s">
        <v>102</v>
      </c>
      <c r="C4" s="72"/>
      <c r="D4" s="74"/>
      <c r="E4" s="72"/>
      <c r="G4" s="51" t="s">
        <v>128</v>
      </c>
      <c r="H4" s="77" t="s">
        <v>131</v>
      </c>
      <c r="I4" s="77"/>
      <c r="J4" s="77"/>
    </row>
    <row r="5" spans="1:10" ht="15.75" thickBot="1" x14ac:dyDescent="0.3">
      <c r="A5">
        <v>4</v>
      </c>
      <c r="B5" s="36" t="s">
        <v>103</v>
      </c>
      <c r="C5" s="37" t="s">
        <v>114</v>
      </c>
      <c r="D5" s="37" t="s">
        <v>119</v>
      </c>
      <c r="E5" s="37" t="s">
        <v>103</v>
      </c>
    </row>
    <row r="6" spans="1:10" ht="15.75" thickBot="1" x14ac:dyDescent="0.3">
      <c r="A6">
        <v>3</v>
      </c>
      <c r="B6" s="38" t="s">
        <v>104</v>
      </c>
      <c r="C6" s="39" t="s">
        <v>115</v>
      </c>
      <c r="D6" s="39" t="s">
        <v>120</v>
      </c>
      <c r="E6" s="39" t="s">
        <v>110</v>
      </c>
      <c r="G6" s="54" t="s">
        <v>134</v>
      </c>
      <c r="H6" s="54" t="s">
        <v>135</v>
      </c>
      <c r="I6" s="54" t="s">
        <v>136</v>
      </c>
      <c r="J6" s="54" t="s">
        <v>137</v>
      </c>
    </row>
    <row r="7" spans="1:10" x14ac:dyDescent="0.25">
      <c r="A7">
        <v>2</v>
      </c>
      <c r="B7" s="40" t="s">
        <v>105</v>
      </c>
      <c r="C7" s="41" t="s">
        <v>116</v>
      </c>
      <c r="D7" s="41" t="s">
        <v>121</v>
      </c>
      <c r="E7" s="73" t="s">
        <v>111</v>
      </c>
      <c r="G7" s="53" t="s">
        <v>132</v>
      </c>
      <c r="H7" s="55" t="s">
        <v>139</v>
      </c>
      <c r="I7" s="55" t="s">
        <v>176</v>
      </c>
      <c r="J7" s="55" t="s">
        <v>141</v>
      </c>
    </row>
    <row r="8" spans="1:10" ht="15.75" thickBot="1" x14ac:dyDescent="0.3">
      <c r="A8">
        <v>1</v>
      </c>
      <c r="B8" s="42" t="s">
        <v>106</v>
      </c>
      <c r="C8" s="43" t="s">
        <v>117</v>
      </c>
      <c r="D8" s="43" t="s">
        <v>122</v>
      </c>
      <c r="E8" s="73"/>
      <c r="G8" s="56" t="s">
        <v>133</v>
      </c>
      <c r="H8" s="57" t="s">
        <v>138</v>
      </c>
      <c r="I8" s="57" t="s">
        <v>140</v>
      </c>
      <c r="J8" s="58">
        <v>255255255255</v>
      </c>
    </row>
    <row r="9" spans="1:10" x14ac:dyDescent="0.25">
      <c r="B9" s="32" t="s">
        <v>109</v>
      </c>
      <c r="E9" t="s">
        <v>112</v>
      </c>
    </row>
  </sheetData>
  <mergeCells count="8">
    <mergeCell ref="H1:J1"/>
    <mergeCell ref="E2:E4"/>
    <mergeCell ref="E7:E8"/>
    <mergeCell ref="C2:C4"/>
    <mergeCell ref="D2:D4"/>
    <mergeCell ref="H2:J2"/>
    <mergeCell ref="H3:J3"/>
    <mergeCell ref="H4:J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36A6D-C6BF-4C55-BD89-4473DDA2952D}">
  <dimension ref="A1:E27"/>
  <sheetViews>
    <sheetView zoomScale="141" workbookViewId="0">
      <selection activeCell="B13" sqref="B13"/>
    </sheetView>
  </sheetViews>
  <sheetFormatPr baseColWidth="10" defaultRowHeight="15" x14ac:dyDescent="0.25"/>
  <cols>
    <col min="1" max="1" width="12.85546875" bestFit="1" customWidth="1"/>
    <col min="2" max="2" width="15.7109375" style="32" bestFit="1" customWidth="1"/>
    <col min="3" max="3" width="2.85546875" customWidth="1"/>
    <col min="4" max="4" width="12.85546875" bestFit="1" customWidth="1"/>
    <col min="5" max="5" width="15.7109375" bestFit="1" customWidth="1"/>
    <col min="6" max="6" width="3" customWidth="1"/>
  </cols>
  <sheetData>
    <row r="1" spans="1:5" x14ac:dyDescent="0.25">
      <c r="A1" t="s">
        <v>123</v>
      </c>
      <c r="B1" s="32" t="s">
        <v>124</v>
      </c>
      <c r="D1" t="s">
        <v>125</v>
      </c>
      <c r="E1" t="s">
        <v>124</v>
      </c>
    </row>
    <row r="2" spans="1:5" x14ac:dyDescent="0.25">
      <c r="A2" t="s">
        <v>142</v>
      </c>
      <c r="B2" s="32" t="s">
        <v>141</v>
      </c>
      <c r="D2" t="s">
        <v>144</v>
      </c>
      <c r="E2" t="s">
        <v>177</v>
      </c>
    </row>
    <row r="3" spans="1:5" x14ac:dyDescent="0.25">
      <c r="A3" t="s">
        <v>143</v>
      </c>
      <c r="B3" s="32" t="s">
        <v>147</v>
      </c>
      <c r="D3" t="s">
        <v>153</v>
      </c>
      <c r="E3" t="s">
        <v>147</v>
      </c>
    </row>
    <row r="4" spans="1:5" x14ac:dyDescent="0.25">
      <c r="A4" t="s">
        <v>144</v>
      </c>
      <c r="B4" s="32" t="s">
        <v>148</v>
      </c>
      <c r="D4" t="s">
        <v>152</v>
      </c>
      <c r="E4" t="s">
        <v>156</v>
      </c>
    </row>
    <row r="5" spans="1:5" x14ac:dyDescent="0.25">
      <c r="A5" t="s">
        <v>145</v>
      </c>
      <c r="B5" s="32" t="s">
        <v>113</v>
      </c>
      <c r="D5" t="s">
        <v>151</v>
      </c>
      <c r="E5" t="s">
        <v>157</v>
      </c>
    </row>
    <row r="6" spans="1:5" ht="15.75" thickBot="1" x14ac:dyDescent="0.3">
      <c r="A6" t="s">
        <v>146</v>
      </c>
      <c r="B6" s="56" t="str">
        <f ca="1">DEC2HEX((RAND()*2^32))</f>
        <v>E04FF26F</v>
      </c>
      <c r="D6" t="s">
        <v>150</v>
      </c>
      <c r="E6" t="s">
        <v>138</v>
      </c>
    </row>
    <row r="8" spans="1:5" x14ac:dyDescent="0.25">
      <c r="A8" t="s">
        <v>123</v>
      </c>
      <c r="B8" s="32" t="s">
        <v>124</v>
      </c>
      <c r="D8" t="s">
        <v>125</v>
      </c>
      <c r="E8" t="s">
        <v>124</v>
      </c>
    </row>
    <row r="9" spans="1:5" x14ac:dyDescent="0.25">
      <c r="A9" t="s">
        <v>142</v>
      </c>
      <c r="B9" s="32" t="s">
        <v>147</v>
      </c>
      <c r="D9" t="s">
        <v>144</v>
      </c>
      <c r="E9" t="s">
        <v>177</v>
      </c>
    </row>
    <row r="10" spans="1:5" x14ac:dyDescent="0.25">
      <c r="A10" t="s">
        <v>143</v>
      </c>
      <c r="B10" s="32" t="s">
        <v>173</v>
      </c>
      <c r="D10" t="s">
        <v>153</v>
      </c>
      <c r="E10" t="s">
        <v>173</v>
      </c>
    </row>
    <row r="11" spans="1:5" x14ac:dyDescent="0.25">
      <c r="A11" t="s">
        <v>144</v>
      </c>
      <c r="B11" s="32" t="s">
        <v>148</v>
      </c>
      <c r="D11" t="s">
        <v>152</v>
      </c>
      <c r="E11" t="s">
        <v>138</v>
      </c>
    </row>
    <row r="12" spans="1:5" x14ac:dyDescent="0.25">
      <c r="A12" t="s">
        <v>145</v>
      </c>
      <c r="B12" s="32" t="s">
        <v>113</v>
      </c>
      <c r="D12" t="s">
        <v>151</v>
      </c>
      <c r="E12" t="s">
        <v>147</v>
      </c>
    </row>
    <row r="13" spans="1:5" ht="15.75" thickBot="1" x14ac:dyDescent="0.3">
      <c r="A13" t="s">
        <v>146</v>
      </c>
      <c r="B13" s="56" t="str">
        <f ca="1">DEC2HEX((RAND()*2^32))</f>
        <v>33913338</v>
      </c>
      <c r="D13" t="s">
        <v>150</v>
      </c>
      <c r="E13" t="s">
        <v>156</v>
      </c>
    </row>
    <row r="15" spans="1:5" x14ac:dyDescent="0.25">
      <c r="B15"/>
    </row>
    <row r="16" spans="1:5" x14ac:dyDescent="0.25">
      <c r="B16"/>
    </row>
    <row r="17" spans="2:2" x14ac:dyDescent="0.25">
      <c r="B17"/>
    </row>
    <row r="18" spans="2:2" x14ac:dyDescent="0.25">
      <c r="B18"/>
    </row>
    <row r="19" spans="2:2" x14ac:dyDescent="0.25">
      <c r="B19"/>
    </row>
    <row r="20" spans="2:2" x14ac:dyDescent="0.25">
      <c r="B20"/>
    </row>
    <row r="21" spans="2:2" x14ac:dyDescent="0.25">
      <c r="B21"/>
    </row>
    <row r="22" spans="2:2" x14ac:dyDescent="0.25">
      <c r="B22"/>
    </row>
    <row r="23" spans="2:2" x14ac:dyDescent="0.25">
      <c r="B23"/>
    </row>
    <row r="24" spans="2:2" x14ac:dyDescent="0.25">
      <c r="B24"/>
    </row>
    <row r="25" spans="2:2" x14ac:dyDescent="0.25">
      <c r="B25"/>
    </row>
    <row r="26" spans="2:2" x14ac:dyDescent="0.25">
      <c r="B26"/>
    </row>
    <row r="27" spans="2:2" x14ac:dyDescent="0.25">
      <c r="B27"/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9F5EE-A44D-4048-8F9E-918C91B2F299}">
  <dimension ref="A1:L15"/>
  <sheetViews>
    <sheetView zoomScale="157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baseColWidth="10" defaultRowHeight="15" x14ac:dyDescent="0.25"/>
  <cols>
    <col min="2" max="2" width="15.5703125" style="44" bestFit="1" customWidth="1"/>
    <col min="3" max="3" width="3" customWidth="1"/>
    <col min="4" max="4" width="5.85546875" bestFit="1" customWidth="1"/>
    <col min="5" max="5" width="10.7109375" style="60" customWidth="1"/>
    <col min="6" max="6" width="9.5703125" style="10" bestFit="1" customWidth="1"/>
    <col min="7" max="7" width="14.28515625" style="10" bestFit="1" customWidth="1"/>
    <col min="8" max="8" width="9.5703125" style="10" bestFit="1" customWidth="1"/>
    <col min="9" max="9" width="11.28515625" style="10" bestFit="1" customWidth="1"/>
    <col min="10" max="10" width="10.7109375" style="10" customWidth="1"/>
    <col min="11" max="11" width="14.28515625" style="10" bestFit="1" customWidth="1"/>
    <col min="12" max="12" width="10.7109375" style="10" customWidth="1"/>
  </cols>
  <sheetData>
    <row r="1" spans="1:12" x14ac:dyDescent="0.25">
      <c r="A1" t="s">
        <v>155</v>
      </c>
      <c r="B1" s="32" t="s">
        <v>124</v>
      </c>
      <c r="D1" t="s">
        <v>155</v>
      </c>
      <c r="E1" s="78" t="s">
        <v>184</v>
      </c>
      <c r="F1" s="78"/>
      <c r="G1" s="78"/>
      <c r="H1" s="78"/>
      <c r="I1" s="78" t="s">
        <v>185</v>
      </c>
      <c r="J1" s="78"/>
      <c r="K1" s="78"/>
      <c r="L1" s="78"/>
    </row>
    <row r="2" spans="1:12" x14ac:dyDescent="0.25">
      <c r="A2" t="s">
        <v>154</v>
      </c>
      <c r="B2" s="44" t="s">
        <v>178</v>
      </c>
      <c r="D2" t="s">
        <v>180</v>
      </c>
      <c r="E2" s="60" t="s">
        <v>171</v>
      </c>
      <c r="F2" s="10" t="s">
        <v>204</v>
      </c>
      <c r="G2" s="10" t="s">
        <v>172</v>
      </c>
      <c r="H2" s="10" t="s">
        <v>205</v>
      </c>
      <c r="I2" s="10" t="s">
        <v>171</v>
      </c>
      <c r="J2" s="10" t="s">
        <v>205</v>
      </c>
      <c r="K2" s="10" t="s">
        <v>172</v>
      </c>
      <c r="L2" s="10" t="s">
        <v>205</v>
      </c>
    </row>
    <row r="3" spans="1:12" x14ac:dyDescent="0.25">
      <c r="A3" t="s">
        <v>158</v>
      </c>
      <c r="B3" s="44">
        <v>128</v>
      </c>
      <c r="D3" t="s">
        <v>181</v>
      </c>
      <c r="E3" s="60" t="s">
        <v>187</v>
      </c>
      <c r="F3" s="10" t="s">
        <v>206</v>
      </c>
      <c r="G3" s="61" t="s">
        <v>192</v>
      </c>
      <c r="H3" s="10" t="s">
        <v>211</v>
      </c>
      <c r="I3" s="60" t="s">
        <v>197</v>
      </c>
      <c r="K3" s="61" t="s">
        <v>201</v>
      </c>
    </row>
    <row r="4" spans="1:12" x14ac:dyDescent="0.25">
      <c r="A4" t="s">
        <v>149</v>
      </c>
      <c r="B4" s="44" t="s">
        <v>156</v>
      </c>
      <c r="D4" t="s">
        <v>182</v>
      </c>
      <c r="E4" s="60" t="s">
        <v>188</v>
      </c>
      <c r="F4" s="10" t="s">
        <v>207</v>
      </c>
      <c r="G4" s="61" t="s">
        <v>193</v>
      </c>
      <c r="H4" s="10" t="s">
        <v>212</v>
      </c>
      <c r="I4" s="60" t="s">
        <v>198</v>
      </c>
      <c r="K4" s="61" t="s">
        <v>202</v>
      </c>
    </row>
    <row r="5" spans="1:12" x14ac:dyDescent="0.25">
      <c r="A5" t="s">
        <v>159</v>
      </c>
      <c r="B5" s="45">
        <v>255255255255</v>
      </c>
      <c r="D5" t="s">
        <v>0</v>
      </c>
      <c r="E5" s="60" t="s">
        <v>189</v>
      </c>
      <c r="F5" s="10" t="s">
        <v>208</v>
      </c>
      <c r="G5" s="61" t="s">
        <v>194</v>
      </c>
      <c r="H5" s="10" t="s">
        <v>213</v>
      </c>
      <c r="I5" s="60" t="s">
        <v>199</v>
      </c>
      <c r="K5" s="61" t="s">
        <v>203</v>
      </c>
    </row>
    <row r="6" spans="1:12" x14ac:dyDescent="0.25">
      <c r="A6" t="s">
        <v>145</v>
      </c>
      <c r="B6" s="44" t="s">
        <v>113</v>
      </c>
      <c r="D6" t="s">
        <v>1</v>
      </c>
      <c r="E6" s="60" t="s">
        <v>190</v>
      </c>
      <c r="F6" s="10" t="s">
        <v>209</v>
      </c>
      <c r="G6" s="61" t="s">
        <v>195</v>
      </c>
      <c r="H6" s="10" t="s">
        <v>214</v>
      </c>
      <c r="I6" s="78" t="s">
        <v>127</v>
      </c>
      <c r="J6" s="78"/>
      <c r="K6" s="78"/>
      <c r="L6" s="78"/>
    </row>
    <row r="7" spans="1:12" ht="15.75" thickBot="1" x14ac:dyDescent="0.3">
      <c r="A7" t="s">
        <v>160</v>
      </c>
      <c r="B7" s="59" t="str">
        <f ca="1">DEC2HEX((RAND()*2^32))</f>
        <v>F217E85</v>
      </c>
      <c r="D7" t="s">
        <v>183</v>
      </c>
      <c r="E7" s="60" t="s">
        <v>191</v>
      </c>
      <c r="F7" s="10" t="s">
        <v>210</v>
      </c>
      <c r="G7" s="61" t="s">
        <v>196</v>
      </c>
      <c r="H7" s="10" t="s">
        <v>215</v>
      </c>
      <c r="I7" s="78" t="s">
        <v>200</v>
      </c>
      <c r="J7" s="78"/>
      <c r="K7" s="78"/>
      <c r="L7" s="78"/>
    </row>
    <row r="8" spans="1:12" ht="15.75" thickBot="1" x14ac:dyDescent="0.3">
      <c r="D8" t="s">
        <v>186</v>
      </c>
      <c r="E8" s="79">
        <f>2^32</f>
        <v>4294967296</v>
      </c>
      <c r="F8" s="79"/>
      <c r="G8" s="79"/>
      <c r="H8" s="79"/>
      <c r="I8" s="79">
        <f>2^32</f>
        <v>4294967296</v>
      </c>
      <c r="J8" s="79"/>
      <c r="K8" s="79"/>
      <c r="L8" s="79"/>
    </row>
    <row r="9" spans="1:12" ht="15.75" thickBot="1" x14ac:dyDescent="0.3">
      <c r="A9" s="46" t="s">
        <v>155</v>
      </c>
      <c r="B9" s="14" t="s">
        <v>124</v>
      </c>
    </row>
    <row r="10" spans="1:12" x14ac:dyDescent="0.25">
      <c r="A10" s="18" t="s">
        <v>154</v>
      </c>
      <c r="B10" s="52" t="s">
        <v>178</v>
      </c>
    </row>
    <row r="11" spans="1:12" x14ac:dyDescent="0.25">
      <c r="A11" t="s">
        <v>158</v>
      </c>
      <c r="B11" s="44">
        <v>64</v>
      </c>
    </row>
    <row r="12" spans="1:12" x14ac:dyDescent="0.25">
      <c r="A12" s="18" t="s">
        <v>149</v>
      </c>
      <c r="B12" s="52" t="s">
        <v>138</v>
      </c>
    </row>
    <row r="13" spans="1:12" x14ac:dyDescent="0.25">
      <c r="A13" t="s">
        <v>159</v>
      </c>
      <c r="B13" s="45" t="s">
        <v>156</v>
      </c>
    </row>
    <row r="14" spans="1:12" x14ac:dyDescent="0.25">
      <c r="A14" s="18" t="s">
        <v>145</v>
      </c>
      <c r="B14" s="52" t="s">
        <v>113</v>
      </c>
    </row>
    <row r="15" spans="1:12" ht="15.75" thickBot="1" x14ac:dyDescent="0.3">
      <c r="A15" s="47" t="s">
        <v>160</v>
      </c>
      <c r="B15" s="59" t="str">
        <f ca="1">DEC2HEX((RAND()*2^32))</f>
        <v>84DC207E</v>
      </c>
    </row>
  </sheetData>
  <mergeCells count="6">
    <mergeCell ref="E1:H1"/>
    <mergeCell ref="I1:L1"/>
    <mergeCell ref="I6:L6"/>
    <mergeCell ref="I7:L7"/>
    <mergeCell ref="E8:H8"/>
    <mergeCell ref="I8:L8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5054-DFCE-48ED-9072-C1D7AD8FAEC1}">
  <dimension ref="A1:I31"/>
  <sheetViews>
    <sheetView zoomScale="144" workbookViewId="0">
      <selection activeCell="E11" sqref="E11"/>
    </sheetView>
  </sheetViews>
  <sheetFormatPr baseColWidth="10" defaultRowHeight="15" x14ac:dyDescent="0.25"/>
  <cols>
    <col min="1" max="1" width="12.7109375" bestFit="1" customWidth="1"/>
    <col min="2" max="2" width="10.28515625" bestFit="1" customWidth="1"/>
    <col min="3" max="3" width="3" customWidth="1"/>
    <col min="5" max="5" width="13" bestFit="1" customWidth="1"/>
    <col min="6" max="6" width="3" customWidth="1"/>
    <col min="7" max="7" width="12" bestFit="1" customWidth="1"/>
    <col min="8" max="9" width="6.42578125" bestFit="1" customWidth="1"/>
  </cols>
  <sheetData>
    <row r="1" spans="1:9" ht="15.75" thickBot="1" x14ac:dyDescent="0.3">
      <c r="A1" s="49" t="s">
        <v>161</v>
      </c>
      <c r="B1" s="49" t="s">
        <v>124</v>
      </c>
      <c r="D1" s="50" t="s">
        <v>179</v>
      </c>
      <c r="E1" s="50" t="s">
        <v>124</v>
      </c>
      <c r="G1" s="46" t="s">
        <v>167</v>
      </c>
      <c r="H1" s="46" t="s">
        <v>171</v>
      </c>
      <c r="I1" s="46" t="s">
        <v>172</v>
      </c>
    </row>
    <row r="2" spans="1:9" x14ac:dyDescent="0.25">
      <c r="A2" s="15" t="s">
        <v>162</v>
      </c>
      <c r="B2" s="15">
        <v>49810</v>
      </c>
      <c r="D2" s="15" t="s">
        <v>162</v>
      </c>
      <c r="E2" s="15">
        <v>68</v>
      </c>
      <c r="G2" s="15" t="s">
        <v>168</v>
      </c>
      <c r="H2" s="15">
        <v>0</v>
      </c>
      <c r="I2" s="15">
        <v>1023</v>
      </c>
    </row>
    <row r="3" spans="1:9" x14ac:dyDescent="0.25">
      <c r="A3" t="s">
        <v>163</v>
      </c>
      <c r="B3">
        <v>22</v>
      </c>
      <c r="D3" t="s">
        <v>163</v>
      </c>
      <c r="E3">
        <v>67</v>
      </c>
      <c r="G3" t="s">
        <v>169</v>
      </c>
      <c r="H3">
        <v>1024</v>
      </c>
      <c r="I3">
        <v>49151</v>
      </c>
    </row>
    <row r="4" spans="1:9" x14ac:dyDescent="0.25">
      <c r="A4" s="18" t="s">
        <v>164</v>
      </c>
      <c r="B4" s="18">
        <v>0</v>
      </c>
      <c r="D4" s="18" t="s">
        <v>166</v>
      </c>
      <c r="E4" s="18">
        <v>65535</v>
      </c>
      <c r="G4" s="18" t="s">
        <v>170</v>
      </c>
      <c r="H4" s="18">
        <v>49152</v>
      </c>
      <c r="I4" s="18">
        <v>65535</v>
      </c>
    </row>
    <row r="5" spans="1:9" x14ac:dyDescent="0.25">
      <c r="A5" t="s">
        <v>165</v>
      </c>
      <c r="B5">
        <v>0</v>
      </c>
      <c r="D5" t="s">
        <v>160</v>
      </c>
      <c r="E5" t="str">
        <f ca="1">DEC2HEX((RAND()*2^32))</f>
        <v>11F498F2</v>
      </c>
    </row>
    <row r="6" spans="1:9" x14ac:dyDescent="0.25">
      <c r="A6" s="18" t="s">
        <v>166</v>
      </c>
      <c r="B6" s="18">
        <v>65535</v>
      </c>
    </row>
    <row r="7" spans="1:9" ht="15.75" thickBot="1" x14ac:dyDescent="0.3">
      <c r="A7" s="47" t="s">
        <v>160</v>
      </c>
      <c r="B7" t="str">
        <f ca="1">DEC2HEX((RAND()*2^32))</f>
        <v>8D5E980</v>
      </c>
      <c r="D7" s="50" t="s">
        <v>179</v>
      </c>
      <c r="E7" s="50" t="s">
        <v>124</v>
      </c>
    </row>
    <row r="8" spans="1:9" ht="15.75" thickBot="1" x14ac:dyDescent="0.3">
      <c r="D8" s="15" t="s">
        <v>162</v>
      </c>
      <c r="E8" s="15">
        <v>67</v>
      </c>
    </row>
    <row r="9" spans="1:9" ht="15.75" thickBot="1" x14ac:dyDescent="0.3">
      <c r="A9" s="46" t="s">
        <v>161</v>
      </c>
      <c r="B9" s="46" t="s">
        <v>124</v>
      </c>
      <c r="D9" t="s">
        <v>163</v>
      </c>
      <c r="E9">
        <v>68</v>
      </c>
    </row>
    <row r="10" spans="1:9" x14ac:dyDescent="0.25">
      <c r="A10" s="15" t="s">
        <v>162</v>
      </c>
      <c r="B10" s="15">
        <v>22</v>
      </c>
      <c r="D10" s="18" t="s">
        <v>166</v>
      </c>
      <c r="E10" s="18">
        <v>16384</v>
      </c>
    </row>
    <row r="11" spans="1:9" x14ac:dyDescent="0.25">
      <c r="A11" t="s">
        <v>163</v>
      </c>
      <c r="B11">
        <v>49810</v>
      </c>
      <c r="D11" t="s">
        <v>160</v>
      </c>
      <c r="E11" t="str">
        <f ca="1">DEC2HEX((RAND()*2^32))</f>
        <v>1D274616</v>
      </c>
    </row>
    <row r="12" spans="1:9" x14ac:dyDescent="0.25">
      <c r="A12" s="18" t="s">
        <v>164</v>
      </c>
      <c r="B12" s="18">
        <v>0</v>
      </c>
    </row>
    <row r="13" spans="1:9" x14ac:dyDescent="0.25">
      <c r="A13" t="s">
        <v>165</v>
      </c>
      <c r="B13">
        <v>100</v>
      </c>
    </row>
    <row r="14" spans="1:9" x14ac:dyDescent="0.25">
      <c r="A14" s="18" t="s">
        <v>166</v>
      </c>
      <c r="B14" s="18">
        <v>16384</v>
      </c>
    </row>
    <row r="15" spans="1:9" ht="15.75" thickBot="1" x14ac:dyDescent="0.3">
      <c r="A15" s="47" t="s">
        <v>160</v>
      </c>
      <c r="B15" s="47" t="str">
        <f ca="1">DEC2HEX((RAND()*2^32))</f>
        <v>4391332D</v>
      </c>
    </row>
    <row r="16" spans="1:9" ht="15.75" thickBot="1" x14ac:dyDescent="0.3"/>
    <row r="17" spans="1:2" ht="15.75" thickBot="1" x14ac:dyDescent="0.3">
      <c r="A17" s="46" t="s">
        <v>161</v>
      </c>
      <c r="B17" s="46" t="s">
        <v>124</v>
      </c>
    </row>
    <row r="18" spans="1:2" x14ac:dyDescent="0.25">
      <c r="A18" s="15" t="s">
        <v>162</v>
      </c>
      <c r="B18" s="15">
        <v>49810</v>
      </c>
    </row>
    <row r="19" spans="1:2" x14ac:dyDescent="0.25">
      <c r="A19" t="s">
        <v>163</v>
      </c>
      <c r="B19">
        <v>22</v>
      </c>
    </row>
    <row r="20" spans="1:2" x14ac:dyDescent="0.25">
      <c r="A20" s="18" t="s">
        <v>164</v>
      </c>
      <c r="B20" s="18">
        <v>101</v>
      </c>
    </row>
    <row r="21" spans="1:2" x14ac:dyDescent="0.25">
      <c r="A21" t="s">
        <v>165</v>
      </c>
      <c r="B21">
        <v>0</v>
      </c>
    </row>
    <row r="22" spans="1:2" x14ac:dyDescent="0.25">
      <c r="A22" s="18" t="s">
        <v>166</v>
      </c>
      <c r="B22" s="18">
        <v>16384</v>
      </c>
    </row>
    <row r="23" spans="1:2" ht="15.75" thickBot="1" x14ac:dyDescent="0.3">
      <c r="A23" s="47" t="s">
        <v>160</v>
      </c>
      <c r="B23" s="47" t="str">
        <f ca="1">DEC2HEX((RAND()*2^32))</f>
        <v>56A363E9</v>
      </c>
    </row>
    <row r="24" spans="1:2" ht="15.75" thickBot="1" x14ac:dyDescent="0.3"/>
    <row r="25" spans="1:2" ht="15.75" thickBot="1" x14ac:dyDescent="0.3">
      <c r="A25" s="46" t="s">
        <v>161</v>
      </c>
      <c r="B25" s="46" t="s">
        <v>124</v>
      </c>
    </row>
    <row r="26" spans="1:2" x14ac:dyDescent="0.25">
      <c r="A26" s="15" t="s">
        <v>162</v>
      </c>
      <c r="B26" s="15">
        <v>22</v>
      </c>
    </row>
    <row r="27" spans="1:2" x14ac:dyDescent="0.25">
      <c r="A27" t="s">
        <v>163</v>
      </c>
      <c r="B27">
        <v>49810</v>
      </c>
    </row>
    <row r="28" spans="1:2" x14ac:dyDescent="0.25">
      <c r="A28" s="18" t="s">
        <v>164</v>
      </c>
      <c r="B28" s="18">
        <v>101</v>
      </c>
    </row>
    <row r="29" spans="1:2" x14ac:dyDescent="0.25">
      <c r="A29" t="s">
        <v>165</v>
      </c>
      <c r="B29">
        <v>300</v>
      </c>
    </row>
    <row r="30" spans="1:2" x14ac:dyDescent="0.25">
      <c r="A30" s="18" t="s">
        <v>166</v>
      </c>
      <c r="B30" s="18">
        <v>16384</v>
      </c>
    </row>
    <row r="31" spans="1:2" ht="15.75" thickBot="1" x14ac:dyDescent="0.3">
      <c r="A31" s="47" t="s">
        <v>160</v>
      </c>
      <c r="B31" s="47" t="str">
        <f ca="1">DEC2HEX((RAND()*2^32))</f>
        <v>40DFD659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A4679-6A3B-48B4-A6B0-AA1541FF8CF5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B036F-4FE9-4BFD-A02A-77D3A20270F2}">
  <dimension ref="A1:K17"/>
  <sheetViews>
    <sheetView tabSelected="1" zoomScale="146" workbookViewId="0">
      <selection activeCell="K5" sqref="K5"/>
    </sheetView>
  </sheetViews>
  <sheetFormatPr baseColWidth="10" defaultRowHeight="15" x14ac:dyDescent="0.25"/>
  <cols>
    <col min="1" max="1" width="4.42578125" bestFit="1" customWidth="1"/>
    <col min="2" max="2" width="4.140625" bestFit="1" customWidth="1"/>
    <col min="3" max="3" width="4.5703125" bestFit="1" customWidth="1"/>
    <col min="4" max="4" width="4.42578125" bestFit="1" customWidth="1"/>
    <col min="6" max="6" width="16.7109375" bestFit="1" customWidth="1"/>
    <col min="7" max="7" width="4.5703125" style="10" bestFit="1" customWidth="1"/>
    <col min="8" max="8" width="4.140625" bestFit="1" customWidth="1"/>
    <col min="9" max="9" width="4" bestFit="1" customWidth="1"/>
  </cols>
  <sheetData>
    <row r="1" spans="1:11" x14ac:dyDescent="0.25">
      <c r="A1" t="s">
        <v>216</v>
      </c>
      <c r="B1" t="s">
        <v>205</v>
      </c>
      <c r="C1" t="s">
        <v>218</v>
      </c>
      <c r="D1" t="s">
        <v>217</v>
      </c>
      <c r="F1" t="s">
        <v>252</v>
      </c>
      <c r="G1" s="10" t="s">
        <v>205</v>
      </c>
      <c r="H1" t="s">
        <v>218</v>
      </c>
      <c r="K1" t="s">
        <v>253</v>
      </c>
    </row>
    <row r="2" spans="1:11" x14ac:dyDescent="0.25">
      <c r="A2">
        <v>0</v>
      </c>
      <c r="B2">
        <v>0</v>
      </c>
      <c r="C2">
        <v>0</v>
      </c>
      <c r="D2">
        <v>0</v>
      </c>
      <c r="F2" t="s">
        <v>244</v>
      </c>
      <c r="G2" s="10" t="s">
        <v>228</v>
      </c>
      <c r="H2" s="10" t="s">
        <v>220</v>
      </c>
      <c r="I2" s="80" t="s">
        <v>236</v>
      </c>
      <c r="K2" t="s">
        <v>254</v>
      </c>
    </row>
    <row r="3" spans="1:11" x14ac:dyDescent="0.25">
      <c r="A3">
        <v>1</v>
      </c>
      <c r="B3">
        <v>1</v>
      </c>
      <c r="C3">
        <v>1</v>
      </c>
      <c r="D3">
        <v>1</v>
      </c>
      <c r="F3" t="s">
        <v>245</v>
      </c>
      <c r="G3" s="10" t="s">
        <v>229</v>
      </c>
      <c r="H3" s="10" t="s">
        <v>221</v>
      </c>
      <c r="I3" s="80" t="s">
        <v>237</v>
      </c>
      <c r="K3" t="s">
        <v>255</v>
      </c>
    </row>
    <row r="4" spans="1:11" x14ac:dyDescent="0.25">
      <c r="A4">
        <v>2</v>
      </c>
      <c r="C4">
        <v>2</v>
      </c>
      <c r="D4">
        <v>2</v>
      </c>
      <c r="F4" t="s">
        <v>246</v>
      </c>
      <c r="G4" s="10" t="s">
        <v>230</v>
      </c>
      <c r="H4" s="10" t="s">
        <v>222</v>
      </c>
      <c r="I4" s="80" t="s">
        <v>238</v>
      </c>
      <c r="K4" t="s">
        <v>256</v>
      </c>
    </row>
    <row r="5" spans="1:11" x14ac:dyDescent="0.25">
      <c r="A5">
        <v>3</v>
      </c>
      <c r="C5">
        <v>3</v>
      </c>
      <c r="D5">
        <v>3</v>
      </c>
      <c r="F5" t="s">
        <v>247</v>
      </c>
      <c r="G5" s="10" t="s">
        <v>231</v>
      </c>
      <c r="H5" s="10" t="s">
        <v>223</v>
      </c>
      <c r="I5" s="80" t="s">
        <v>239</v>
      </c>
    </row>
    <row r="6" spans="1:11" x14ac:dyDescent="0.25">
      <c r="A6">
        <v>4</v>
      </c>
      <c r="C6">
        <v>4</v>
      </c>
      <c r="D6">
        <v>4</v>
      </c>
      <c r="F6" t="s">
        <v>248</v>
      </c>
      <c r="G6" s="10" t="s">
        <v>232</v>
      </c>
      <c r="H6" s="10" t="s">
        <v>224</v>
      </c>
      <c r="I6" s="80" t="s">
        <v>240</v>
      </c>
    </row>
    <row r="7" spans="1:11" x14ac:dyDescent="0.25">
      <c r="A7">
        <v>5</v>
      </c>
      <c r="C7">
        <v>5</v>
      </c>
      <c r="D7">
        <v>5</v>
      </c>
      <c r="F7" t="s">
        <v>249</v>
      </c>
      <c r="G7" s="10" t="s">
        <v>233</v>
      </c>
      <c r="H7" s="10" t="s">
        <v>225</v>
      </c>
      <c r="I7" s="80" t="s">
        <v>241</v>
      </c>
    </row>
    <row r="8" spans="1:11" x14ac:dyDescent="0.25">
      <c r="A8">
        <v>6</v>
      </c>
      <c r="C8">
        <v>6</v>
      </c>
      <c r="D8">
        <v>6</v>
      </c>
      <c r="F8" t="s">
        <v>250</v>
      </c>
      <c r="G8" s="10" t="s">
        <v>234</v>
      </c>
      <c r="H8" s="10" t="s">
        <v>226</v>
      </c>
      <c r="I8" s="80" t="s">
        <v>242</v>
      </c>
    </row>
    <row r="9" spans="1:11" x14ac:dyDescent="0.25">
      <c r="A9">
        <v>7</v>
      </c>
      <c r="C9">
        <v>7</v>
      </c>
      <c r="D9">
        <v>7</v>
      </c>
      <c r="F9" t="s">
        <v>251</v>
      </c>
      <c r="G9" s="10" t="s">
        <v>235</v>
      </c>
      <c r="H9" s="10" t="s">
        <v>227</v>
      </c>
      <c r="I9" s="80" t="s">
        <v>243</v>
      </c>
    </row>
    <row r="10" spans="1:11" x14ac:dyDescent="0.25">
      <c r="A10">
        <v>8</v>
      </c>
      <c r="D10">
        <v>8</v>
      </c>
    </row>
    <row r="11" spans="1:11" x14ac:dyDescent="0.25">
      <c r="A11">
        <v>9</v>
      </c>
      <c r="D11">
        <v>9</v>
      </c>
    </row>
    <row r="12" spans="1:11" x14ac:dyDescent="0.25">
      <c r="A12">
        <v>10</v>
      </c>
      <c r="D12" s="44" t="s">
        <v>181</v>
      </c>
    </row>
    <row r="13" spans="1:11" x14ac:dyDescent="0.25">
      <c r="D13" s="44" t="s">
        <v>182</v>
      </c>
    </row>
    <row r="14" spans="1:11" x14ac:dyDescent="0.25">
      <c r="D14" s="44" t="s">
        <v>0</v>
      </c>
    </row>
    <row r="15" spans="1:11" x14ac:dyDescent="0.25">
      <c r="D15" s="44" t="s">
        <v>1</v>
      </c>
    </row>
    <row r="16" spans="1:11" x14ac:dyDescent="0.25">
      <c r="D16" s="44" t="s">
        <v>183</v>
      </c>
    </row>
    <row r="17" spans="4:4" x14ac:dyDescent="0.25">
      <c r="D17" s="44" t="s">
        <v>219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Cifrado</vt:lpstr>
      <vt:lpstr>Unidades</vt:lpstr>
      <vt:lpstr>Modelos</vt:lpstr>
      <vt:lpstr>acceso</vt:lpstr>
      <vt:lpstr>internet</vt:lpstr>
      <vt:lpstr>transporte</vt:lpstr>
      <vt:lpstr>aplicacion</vt:lpstr>
      <vt:lpstr>sistemas</vt:lpstr>
      <vt:lpstr>DESPLAZAMIENTO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Racedo</dc:creator>
  <cp:lastModifiedBy>Cristian Racedo</cp:lastModifiedBy>
  <dcterms:created xsi:type="dcterms:W3CDTF">2026-03-26T22:51:14Z</dcterms:created>
  <dcterms:modified xsi:type="dcterms:W3CDTF">2026-04-17T03:10:20Z</dcterms:modified>
</cp:coreProperties>
</file>