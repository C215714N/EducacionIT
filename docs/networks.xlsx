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cacionIT\Documents\networks\server-hacking\nssh-mj19\docs\"/>
    </mc:Choice>
  </mc:AlternateContent>
  <xr:revisionPtr revIDLastSave="0" documentId="13_ncr:1_{041733AB-6407-471E-AB51-5ACE95CECC2D}" xr6:coauthVersionLast="47" xr6:coauthVersionMax="47" xr10:uidLastSave="{00000000-0000-0000-0000-000000000000}"/>
  <bookViews>
    <workbookView xWindow="-120" yWindow="-120" windowWidth="20730" windowHeight="11040" activeTab="2" xr2:uid="{D01C2053-D11D-4E53-94C6-551C8782C843}"/>
  </bookViews>
  <sheets>
    <sheet name="Cifrado" sheetId="4" r:id="rId1"/>
    <sheet name="Unidades" sheetId="3" r:id="rId2"/>
    <sheet name="Modelos" sheetId="5" r:id="rId3"/>
  </sheets>
  <definedNames>
    <definedName name="DESPLAZAMIENTO">Cifrado!$Z$4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" i="4" l="1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</calcChain>
</file>

<file path=xl/sharedStrings.xml><?xml version="1.0" encoding="utf-8"?>
<sst xmlns="http://schemas.openxmlformats.org/spreadsheetml/2006/main" count="168" uniqueCount="123">
  <si>
    <t>C</t>
  </si>
  <si>
    <t>D</t>
  </si>
  <si>
    <t>R</t>
  </si>
  <si>
    <t>binary digit</t>
  </si>
  <si>
    <t>bit</t>
  </si>
  <si>
    <t>1 | 0</t>
  </si>
  <si>
    <t>ALMACENAMIENTO</t>
  </si>
  <si>
    <t>Byte</t>
  </si>
  <si>
    <t>8 bits</t>
  </si>
  <si>
    <t>10^0</t>
  </si>
  <si>
    <t>-</t>
  </si>
  <si>
    <t>KiloByte</t>
  </si>
  <si>
    <t>MegaByte</t>
  </si>
  <si>
    <t>GigaByte</t>
  </si>
  <si>
    <t>TeraByte</t>
  </si>
  <si>
    <t>PetaByte</t>
  </si>
  <si>
    <t>ExaByte</t>
  </si>
  <si>
    <t>ZettaByte</t>
  </si>
  <si>
    <t>YottaByte</t>
  </si>
  <si>
    <t>BrontoByte</t>
  </si>
  <si>
    <t>GeopByte</t>
  </si>
  <si>
    <t>SaganByte</t>
  </si>
  <si>
    <t>1000 B</t>
  </si>
  <si>
    <t>1000 KB</t>
  </si>
  <si>
    <t>1000 MB</t>
  </si>
  <si>
    <t>1000 GB</t>
  </si>
  <si>
    <t>1000 TB</t>
  </si>
  <si>
    <t>1000 XB</t>
  </si>
  <si>
    <t>1000 ZB</t>
  </si>
  <si>
    <t>1000 YB</t>
  </si>
  <si>
    <t>1000 BB</t>
  </si>
  <si>
    <t>1000 PB</t>
  </si>
  <si>
    <t>1000 GeB</t>
  </si>
  <si>
    <t>10^3</t>
  </si>
  <si>
    <t>10^6</t>
  </si>
  <si>
    <t>10^9</t>
  </si>
  <si>
    <t>10^12</t>
  </si>
  <si>
    <t>10^15</t>
  </si>
  <si>
    <t>10^18</t>
  </si>
  <si>
    <t>10^21</t>
  </si>
  <si>
    <t>10^24</t>
  </si>
  <si>
    <t>10^27</t>
  </si>
  <si>
    <t>10^30</t>
  </si>
  <si>
    <t>10^33</t>
  </si>
  <si>
    <t>KiB</t>
  </si>
  <si>
    <t>GiB</t>
  </si>
  <si>
    <t>MiB</t>
  </si>
  <si>
    <t>TiB</t>
  </si>
  <si>
    <t>PiB</t>
  </si>
  <si>
    <t>ZiB</t>
  </si>
  <si>
    <t>YiB</t>
  </si>
  <si>
    <t>BiB</t>
  </si>
  <si>
    <t>SiB</t>
  </si>
  <si>
    <t>XiB</t>
  </si>
  <si>
    <t>GeiB</t>
  </si>
  <si>
    <t>ALFABETO INVERSO (ATBASH):</t>
  </si>
  <si>
    <t>r</t>
  </si>
  <si>
    <t>i</t>
  </si>
  <si>
    <t>s</t>
  </si>
  <si>
    <t>t</t>
  </si>
  <si>
    <t>a</t>
  </si>
  <si>
    <t>n</t>
  </si>
  <si>
    <t>m</t>
  </si>
  <si>
    <t>c</t>
  </si>
  <si>
    <t>e</t>
  </si>
  <si>
    <t>d</t>
  </si>
  <si>
    <t>o</t>
  </si>
  <si>
    <t>CONTRASEÑA ORIGINAL</t>
  </si>
  <si>
    <t>CIFRADO RESULTANTE</t>
  </si>
  <si>
    <t>SUSTITUCION DE CARACTERES (CESAR):</t>
  </si>
  <si>
    <t>DESPLAZAMIENTO</t>
  </si>
  <si>
    <t>b</t>
  </si>
  <si>
    <t>1Gbps</t>
  </si>
  <si>
    <t>125MBps</t>
  </si>
  <si>
    <t>ANCHO DE BANDA</t>
  </si>
  <si>
    <t>UNIDAD</t>
  </si>
  <si>
    <t>EQUIV</t>
  </si>
  <si>
    <t>EXP</t>
  </si>
  <si>
    <t>REAL</t>
  </si>
  <si>
    <t>bit/seg</t>
  </si>
  <si>
    <t>bits por segundo</t>
  </si>
  <si>
    <t>Kilobits/seg</t>
  </si>
  <si>
    <t>Megabits/seg</t>
  </si>
  <si>
    <t>Gigabits/seg</t>
  </si>
  <si>
    <t>Terabits/seg</t>
  </si>
  <si>
    <t>FRECUENCIA</t>
  </si>
  <si>
    <t>Hertz</t>
  </si>
  <si>
    <t>ciclos por segundo</t>
  </si>
  <si>
    <t>KiloHertz</t>
  </si>
  <si>
    <t>1000 Hz</t>
  </si>
  <si>
    <t>MegaHertz</t>
  </si>
  <si>
    <t>1000 KHz</t>
  </si>
  <si>
    <t>GigaHertz</t>
  </si>
  <si>
    <t>1000 MHz</t>
  </si>
  <si>
    <t>1000 bps</t>
  </si>
  <si>
    <t>1000 Kbps</t>
  </si>
  <si>
    <t>1000 Mbps</t>
  </si>
  <si>
    <t>1000 Gbps</t>
  </si>
  <si>
    <t>OSI de ISO</t>
  </si>
  <si>
    <t>TCP/IP de IETF</t>
  </si>
  <si>
    <t>APLICACIÓN</t>
  </si>
  <si>
    <t>PRESENTACION</t>
  </si>
  <si>
    <t>SESION</t>
  </si>
  <si>
    <t>TRANSPORTE</t>
  </si>
  <si>
    <t>RED</t>
  </si>
  <si>
    <t>ENLACE DATOS</t>
  </si>
  <si>
    <t>FISICA</t>
  </si>
  <si>
    <t>PDU</t>
  </si>
  <si>
    <t>PROTOCOLOS</t>
  </si>
  <si>
    <t>LAN</t>
  </si>
  <si>
    <t>INTERNET</t>
  </si>
  <si>
    <t>ACCESO A RED</t>
  </si>
  <si>
    <t>WAN</t>
  </si>
  <si>
    <t>DATA</t>
  </si>
  <si>
    <t>SEGMENT</t>
  </si>
  <si>
    <t>PACKET</t>
  </si>
  <si>
    <t>FRAME</t>
  </si>
  <si>
    <t>BITS</t>
  </si>
  <si>
    <t>HTTP - HTTPS - FTP - SFTP - TFTP - POP3 - IMAP - SMTP - SMB - IPP - TELNET - SSH - DHCP - DNS - SSL/TLS</t>
  </si>
  <si>
    <t>UDP - TCP</t>
  </si>
  <si>
    <t>IP - ICMP - NDP</t>
  </si>
  <si>
    <t>ARP - ETHERNET - PPP - WIFI</t>
  </si>
  <si>
    <t>10GBaseTX - 100BaseCx - 10GBaseLX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</si>
</sst>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6" borderId="9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49" fontId="0" fillId="0" borderId="0" xfId="0" applyNumberFormat="1"/>
    <xf numFmtId="0" fontId="2" fillId="5" borderId="12" xfId="0" applyFont="1" applyFill="1" applyBorder="1" applyAlignment="1">
      <alignment horizontal="center"/>
    </xf>
    <xf numFmtId="49" fontId="2" fillId="5" borderId="12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0" fillId="6" borderId="12" xfId="0" applyFill="1" applyBorder="1"/>
    <xf numFmtId="0" fontId="0" fillId="6" borderId="12" xfId="0" applyFill="1" applyBorder="1" applyAlignment="1">
      <alignment horizontal="left" indent="1"/>
    </xf>
    <xf numFmtId="49" fontId="0" fillId="6" borderId="12" xfId="0" applyNumberForma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left"/>
    </xf>
    <xf numFmtId="0" fontId="0" fillId="0" borderId="0" xfId="0" applyAlignment="1">
      <alignment horizontal="left" indent="1"/>
    </xf>
    <xf numFmtId="0" fontId="0" fillId="6" borderId="0" xfId="0" applyFill="1" applyAlignment="1">
      <alignment horizontal="left" indent="1"/>
    </xf>
    <xf numFmtId="49" fontId="0" fillId="6" borderId="0" xfId="0" applyNumberFormat="1" applyFill="1" applyAlignment="1">
      <alignment horizontal="center"/>
    </xf>
    <xf numFmtId="0" fontId="0" fillId="6" borderId="3" xfId="0" applyFill="1" applyBorder="1"/>
    <xf numFmtId="0" fontId="0" fillId="6" borderId="3" xfId="0" applyFill="1" applyBorder="1" applyAlignment="1">
      <alignment horizontal="left" indent="1"/>
    </xf>
    <xf numFmtId="49" fontId="0" fillId="6" borderId="3" xfId="0" applyNumberFormat="1" applyFill="1" applyBorder="1" applyAlignment="1">
      <alignment horizontal="center"/>
    </xf>
    <xf numFmtId="0" fontId="0" fillId="6" borderId="3" xfId="0" applyFill="1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 indent="1"/>
    </xf>
    <xf numFmtId="49" fontId="0" fillId="0" borderId="3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3" fillId="2" borderId="11" xfId="1" applyBorder="1" applyAlignment="1">
      <alignment horizontal="center"/>
    </xf>
    <xf numFmtId="0" fontId="3" fillId="2" borderId="0" xfId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right" indent="1"/>
    </xf>
    <xf numFmtId="0" fontId="0" fillId="0" borderId="6" xfId="0" applyBorder="1" applyAlignment="1">
      <alignment horizontal="right" indent="1"/>
    </xf>
    <xf numFmtId="0" fontId="0" fillId="0" borderId="7" xfId="0" applyBorder="1" applyAlignment="1">
      <alignment horizontal="right" indent="1"/>
    </xf>
    <xf numFmtId="0" fontId="0" fillId="0" borderId="5" xfId="0" applyBorder="1" applyAlignment="1">
      <alignment horizontal="left" indent="1"/>
    </xf>
    <xf numFmtId="0" fontId="0" fillId="0" borderId="6" xfId="0" applyBorder="1" applyAlignment="1">
      <alignment horizontal="left" indent="1"/>
    </xf>
    <xf numFmtId="0" fontId="0" fillId="0" borderId="7" xfId="0" applyBorder="1" applyAlignment="1">
      <alignment horizontal="left" inden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2">
    <cellStyle name="Énfasis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A65E2-9518-4EDE-8A83-A20AFC9B7899}">
  <dimension ref="A1:AA6"/>
  <sheetViews>
    <sheetView zoomScale="132" workbookViewId="0">
      <selection activeCell="F16" sqref="F16"/>
    </sheetView>
  </sheetViews>
  <sheetFormatPr baseColWidth="10" defaultColWidth="4.28515625" defaultRowHeight="15" x14ac:dyDescent="0.25"/>
  <sheetData>
    <row r="1" spans="1:27" x14ac:dyDescent="0.25">
      <c r="A1" s="34" t="s">
        <v>55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7" x14ac:dyDescent="0.25">
      <c r="A2" s="3" t="s">
        <v>0</v>
      </c>
      <c r="B2" s="3" t="s">
        <v>56</v>
      </c>
      <c r="C2" s="3" t="s">
        <v>57</v>
      </c>
      <c r="D2" s="3" t="s">
        <v>58</v>
      </c>
      <c r="E2" s="3" t="s">
        <v>59</v>
      </c>
      <c r="F2" s="3" t="s">
        <v>57</v>
      </c>
      <c r="G2" s="3" t="s">
        <v>60</v>
      </c>
      <c r="H2" s="3" t="s">
        <v>61</v>
      </c>
      <c r="I2" s="3"/>
      <c r="J2" s="3" t="s">
        <v>1</v>
      </c>
      <c r="K2" s="3" t="s">
        <v>60</v>
      </c>
      <c r="L2" s="3" t="s">
        <v>62</v>
      </c>
      <c r="M2" s="3" t="s">
        <v>57</v>
      </c>
      <c r="N2" s="3" t="s">
        <v>60</v>
      </c>
      <c r="O2" s="3" t="s">
        <v>61</v>
      </c>
      <c r="P2" s="3"/>
      <c r="Q2" s="3" t="s">
        <v>2</v>
      </c>
      <c r="R2" s="3" t="s">
        <v>60</v>
      </c>
      <c r="S2" s="3" t="s">
        <v>63</v>
      </c>
      <c r="T2" s="3" t="s">
        <v>64</v>
      </c>
      <c r="U2" s="3" t="s">
        <v>65</v>
      </c>
      <c r="V2" s="3" t="s">
        <v>66</v>
      </c>
      <c r="W2" s="3"/>
      <c r="X2" s="3"/>
      <c r="Y2" s="3"/>
      <c r="Z2" s="3"/>
      <c r="AA2" t="s">
        <v>67</v>
      </c>
    </row>
    <row r="3" spans="1:27" x14ac:dyDescent="0.25">
      <c r="A3" s="4" t="str">
        <f t="shared" ref="A3:Z3" si="0">IFERROR(CHAR(ABS(CODE(UPPER(A2)) - 64 - 27) + 64),"")</f>
        <v>X</v>
      </c>
      <c r="B3" s="5" t="str">
        <f t="shared" si="0"/>
        <v>I</v>
      </c>
      <c r="C3" s="5" t="str">
        <f t="shared" si="0"/>
        <v>R</v>
      </c>
      <c r="D3" s="5" t="str">
        <f t="shared" si="0"/>
        <v>H</v>
      </c>
      <c r="E3" s="5" t="str">
        <f t="shared" si="0"/>
        <v>G</v>
      </c>
      <c r="F3" s="5" t="str">
        <f t="shared" si="0"/>
        <v>R</v>
      </c>
      <c r="G3" s="5" t="str">
        <f t="shared" si="0"/>
        <v>Z</v>
      </c>
      <c r="H3" s="5" t="str">
        <f t="shared" si="0"/>
        <v>M</v>
      </c>
      <c r="I3" s="5" t="str">
        <f t="shared" si="0"/>
        <v/>
      </c>
      <c r="J3" s="5" t="str">
        <f t="shared" si="0"/>
        <v>W</v>
      </c>
      <c r="K3" s="5" t="str">
        <f t="shared" si="0"/>
        <v>Z</v>
      </c>
      <c r="L3" s="5" t="str">
        <f t="shared" si="0"/>
        <v>N</v>
      </c>
      <c r="M3" s="5" t="str">
        <f t="shared" si="0"/>
        <v>R</v>
      </c>
      <c r="N3" s="5" t="str">
        <f t="shared" si="0"/>
        <v>Z</v>
      </c>
      <c r="O3" s="5" t="str">
        <f t="shared" si="0"/>
        <v>M</v>
      </c>
      <c r="P3" s="5" t="str">
        <f t="shared" si="0"/>
        <v/>
      </c>
      <c r="Q3" s="5" t="str">
        <f t="shared" si="0"/>
        <v>I</v>
      </c>
      <c r="R3" s="5" t="str">
        <f t="shared" si="0"/>
        <v>Z</v>
      </c>
      <c r="S3" s="5" t="str">
        <f t="shared" si="0"/>
        <v>X</v>
      </c>
      <c r="T3" s="5" t="str">
        <f t="shared" si="0"/>
        <v>V</v>
      </c>
      <c r="U3" s="5" t="str">
        <f t="shared" si="0"/>
        <v>W</v>
      </c>
      <c r="V3" s="5" t="str">
        <f t="shared" si="0"/>
        <v>L</v>
      </c>
      <c r="W3" s="5" t="str">
        <f t="shared" si="0"/>
        <v/>
      </c>
      <c r="X3" s="5" t="str">
        <f t="shared" si="0"/>
        <v/>
      </c>
      <c r="Y3" s="5" t="str">
        <f t="shared" si="0"/>
        <v/>
      </c>
      <c r="Z3" s="6" t="str">
        <f t="shared" si="0"/>
        <v/>
      </c>
      <c r="AA3" t="s">
        <v>68</v>
      </c>
    </row>
    <row r="4" spans="1:27" x14ac:dyDescent="0.25">
      <c r="A4" s="35" t="s">
        <v>69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7"/>
      <c r="S4" s="38" t="s">
        <v>70</v>
      </c>
      <c r="T4" s="39"/>
      <c r="U4" s="39"/>
      <c r="V4" s="39"/>
      <c r="W4" s="39"/>
      <c r="X4" s="39"/>
      <c r="Y4" s="40"/>
      <c r="Z4" s="2">
        <v>4</v>
      </c>
    </row>
    <row r="5" spans="1:27" x14ac:dyDescent="0.25">
      <c r="A5" s="3" t="s">
        <v>0</v>
      </c>
      <c r="B5" s="3" t="s">
        <v>56</v>
      </c>
      <c r="C5" s="3" t="s">
        <v>57</v>
      </c>
      <c r="D5" s="3" t="s">
        <v>58</v>
      </c>
      <c r="E5" s="3" t="s">
        <v>59</v>
      </c>
      <c r="F5" s="3" t="s">
        <v>57</v>
      </c>
      <c r="G5" s="3" t="s">
        <v>60</v>
      </c>
      <c r="H5" s="3" t="s">
        <v>61</v>
      </c>
      <c r="I5" s="3"/>
      <c r="J5" s="3" t="s">
        <v>1</v>
      </c>
      <c r="K5" s="3" t="s">
        <v>60</v>
      </c>
      <c r="L5" s="3" t="s">
        <v>62</v>
      </c>
      <c r="M5" s="3" t="s">
        <v>57</v>
      </c>
      <c r="N5" s="3" t="s">
        <v>60</v>
      </c>
      <c r="O5" s="3" t="s">
        <v>61</v>
      </c>
      <c r="P5" s="3"/>
      <c r="Q5" s="3" t="s">
        <v>2</v>
      </c>
      <c r="R5" s="3" t="s">
        <v>60</v>
      </c>
      <c r="S5" s="3" t="s">
        <v>63</v>
      </c>
      <c r="T5" s="3" t="s">
        <v>64</v>
      </c>
      <c r="U5" s="3" t="s">
        <v>65</v>
      </c>
      <c r="V5" s="3" t="s">
        <v>66</v>
      </c>
      <c r="W5" s="3"/>
      <c r="X5" s="3"/>
      <c r="Y5" s="3"/>
      <c r="Z5" s="3"/>
      <c r="AA5" t="s">
        <v>67</v>
      </c>
    </row>
    <row r="6" spans="1:27" x14ac:dyDescent="0.25">
      <c r="A6" s="4" t="str">
        <f>IFERROR(CHAR(65 + MOD(CODE(UPPER(A5)) - 65 +_xlfn.SINGLE( DESPLAZAMIENTO), 26)),"")</f>
        <v>G</v>
      </c>
      <c r="B6" s="5" t="str">
        <f t="shared" ref="B6:Z6" si="1">IFERROR(CHAR(65 + MOD(CODE(UPPER(B5)) - 65 +_xlfn.SINGLE( DESPLAZAMIENTO), 26)),"")</f>
        <v>V</v>
      </c>
      <c r="C6" s="5" t="str">
        <f t="shared" si="1"/>
        <v>M</v>
      </c>
      <c r="D6" s="5" t="str">
        <f t="shared" si="1"/>
        <v>W</v>
      </c>
      <c r="E6" s="5" t="str">
        <f t="shared" si="1"/>
        <v>X</v>
      </c>
      <c r="F6" s="5" t="str">
        <f t="shared" si="1"/>
        <v>M</v>
      </c>
      <c r="G6" s="5" t="str">
        <f t="shared" si="1"/>
        <v>E</v>
      </c>
      <c r="H6" s="5" t="str">
        <f t="shared" si="1"/>
        <v>R</v>
      </c>
      <c r="I6" s="5" t="str">
        <f t="shared" si="1"/>
        <v/>
      </c>
      <c r="J6" s="5" t="str">
        <f t="shared" si="1"/>
        <v>H</v>
      </c>
      <c r="K6" s="5" t="str">
        <f t="shared" si="1"/>
        <v>E</v>
      </c>
      <c r="L6" s="5" t="str">
        <f t="shared" si="1"/>
        <v>Q</v>
      </c>
      <c r="M6" s="5" t="str">
        <f t="shared" si="1"/>
        <v>M</v>
      </c>
      <c r="N6" s="5" t="str">
        <f t="shared" si="1"/>
        <v>E</v>
      </c>
      <c r="O6" s="5" t="str">
        <f t="shared" si="1"/>
        <v>R</v>
      </c>
      <c r="P6" s="5" t="str">
        <f t="shared" si="1"/>
        <v/>
      </c>
      <c r="Q6" s="5" t="str">
        <f t="shared" si="1"/>
        <v>V</v>
      </c>
      <c r="R6" s="5" t="str">
        <f t="shared" si="1"/>
        <v>E</v>
      </c>
      <c r="S6" s="5" t="str">
        <f t="shared" si="1"/>
        <v>G</v>
      </c>
      <c r="T6" s="5" t="str">
        <f t="shared" si="1"/>
        <v>I</v>
      </c>
      <c r="U6" s="5" t="str">
        <f t="shared" si="1"/>
        <v>H</v>
      </c>
      <c r="V6" s="5" t="str">
        <f t="shared" si="1"/>
        <v>S</v>
      </c>
      <c r="W6" s="5" t="str">
        <f t="shared" si="1"/>
        <v/>
      </c>
      <c r="X6" s="5" t="str">
        <f t="shared" si="1"/>
        <v/>
      </c>
      <c r="Y6" s="5" t="str">
        <f t="shared" si="1"/>
        <v/>
      </c>
      <c r="Z6" s="6" t="str">
        <f t="shared" si="1"/>
        <v/>
      </c>
      <c r="AA6" t="s">
        <v>68</v>
      </c>
    </row>
  </sheetData>
  <mergeCells count="3">
    <mergeCell ref="A1:Z1"/>
    <mergeCell ref="A4:R4"/>
    <mergeCell ref="S4:Y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DF75F-50C9-4D99-BE7A-088D415A6787}">
  <dimension ref="A1:H16"/>
  <sheetViews>
    <sheetView topLeftCell="A3" zoomScale="150" workbookViewId="0">
      <selection activeCell="F5" sqref="F5"/>
    </sheetView>
  </sheetViews>
  <sheetFormatPr baseColWidth="10" defaultColWidth="3.140625" defaultRowHeight="15" x14ac:dyDescent="0.25"/>
  <cols>
    <col min="1" max="1" width="10.42578125" bestFit="1" customWidth="1"/>
    <col min="2" max="2" width="9" bestFit="1" customWidth="1"/>
    <col min="3" max="3" width="7.42578125" bestFit="1" customWidth="1"/>
    <col min="4" max="4" width="5.5703125" bestFit="1" customWidth="1"/>
    <col min="6" max="6" width="12.7109375" bestFit="1" customWidth="1"/>
    <col min="7" max="7" width="17.85546875" bestFit="1" customWidth="1"/>
    <col min="8" max="8" width="6.140625" bestFit="1" customWidth="1"/>
  </cols>
  <sheetData>
    <row r="1" spans="1:8" ht="16.5" thickTop="1" thickBot="1" x14ac:dyDescent="0.3">
      <c r="A1" s="31" t="s">
        <v>3</v>
      </c>
      <c r="B1" s="30" t="s">
        <v>4</v>
      </c>
      <c r="C1" s="7" t="s">
        <v>5</v>
      </c>
      <c r="D1" s="9" t="s">
        <v>71</v>
      </c>
      <c r="F1" s="8" t="s">
        <v>72</v>
      </c>
      <c r="G1" s="7" t="s">
        <v>73</v>
      </c>
      <c r="H1" s="9">
        <v>8</v>
      </c>
    </row>
    <row r="2" spans="1:8" ht="15.75" thickTop="1" x14ac:dyDescent="0.25">
      <c r="D2" s="10"/>
      <c r="E2" s="10"/>
    </row>
    <row r="3" spans="1:8" ht="15.75" thickBot="1" x14ac:dyDescent="0.3">
      <c r="A3" s="32" t="s">
        <v>6</v>
      </c>
      <c r="B3" s="32"/>
      <c r="C3" s="32"/>
      <c r="D3" s="32"/>
      <c r="E3" s="10"/>
      <c r="F3" s="33" t="s">
        <v>74</v>
      </c>
      <c r="G3" s="33"/>
      <c r="H3" s="33"/>
    </row>
    <row r="4" spans="1:8" ht="15.75" thickBot="1" x14ac:dyDescent="0.3">
      <c r="A4" s="11" t="s">
        <v>75</v>
      </c>
      <c r="B4" s="11" t="s">
        <v>76</v>
      </c>
      <c r="C4" s="11" t="s">
        <v>77</v>
      </c>
      <c r="D4" s="12" t="s">
        <v>78</v>
      </c>
      <c r="E4" s="13"/>
      <c r="F4" s="14" t="s">
        <v>75</v>
      </c>
      <c r="G4" s="14" t="s">
        <v>76</v>
      </c>
      <c r="H4" s="14" t="s">
        <v>77</v>
      </c>
    </row>
    <row r="5" spans="1:8" x14ac:dyDescent="0.25">
      <c r="A5" s="15" t="s">
        <v>7</v>
      </c>
      <c r="B5" s="15" t="s">
        <v>8</v>
      </c>
      <c r="C5" s="16" t="s">
        <v>9</v>
      </c>
      <c r="D5" s="17" t="s">
        <v>10</v>
      </c>
      <c r="E5" s="13"/>
      <c r="F5" s="18" t="s">
        <v>79</v>
      </c>
      <c r="G5" s="18" t="s">
        <v>80</v>
      </c>
      <c r="H5" s="19" t="s">
        <v>9</v>
      </c>
    </row>
    <row r="6" spans="1:8" x14ac:dyDescent="0.25">
      <c r="A6" t="s">
        <v>11</v>
      </c>
      <c r="B6" t="s">
        <v>22</v>
      </c>
      <c r="C6" s="20" t="s">
        <v>33</v>
      </c>
      <c r="D6" s="13" t="s">
        <v>44</v>
      </c>
      <c r="E6" s="10"/>
      <c r="F6" t="s">
        <v>81</v>
      </c>
      <c r="G6" t="s">
        <v>94</v>
      </c>
      <c r="H6" s="1" t="s">
        <v>33</v>
      </c>
    </row>
    <row r="7" spans="1:8" x14ac:dyDescent="0.25">
      <c r="A7" s="18" t="s">
        <v>12</v>
      </c>
      <c r="B7" s="18" t="s">
        <v>23</v>
      </c>
      <c r="C7" s="21" t="s">
        <v>34</v>
      </c>
      <c r="D7" s="22" t="s">
        <v>46</v>
      </c>
      <c r="E7" s="10"/>
      <c r="F7" s="18" t="s">
        <v>82</v>
      </c>
      <c r="G7" s="18" t="s">
        <v>95</v>
      </c>
      <c r="H7" s="19" t="s">
        <v>34</v>
      </c>
    </row>
    <row r="8" spans="1:8" x14ac:dyDescent="0.25">
      <c r="A8" t="s">
        <v>13</v>
      </c>
      <c r="B8" t="s">
        <v>24</v>
      </c>
      <c r="C8" s="20" t="s">
        <v>35</v>
      </c>
      <c r="D8" s="13" t="s">
        <v>45</v>
      </c>
      <c r="E8" s="10"/>
      <c r="F8" t="s">
        <v>83</v>
      </c>
      <c r="G8" t="s">
        <v>96</v>
      </c>
      <c r="H8" s="1" t="s">
        <v>35</v>
      </c>
    </row>
    <row r="9" spans="1:8" x14ac:dyDescent="0.25">
      <c r="A9" s="23" t="s">
        <v>14</v>
      </c>
      <c r="B9" s="23" t="s">
        <v>25</v>
      </c>
      <c r="C9" s="24" t="s">
        <v>36</v>
      </c>
      <c r="D9" s="25" t="s">
        <v>47</v>
      </c>
      <c r="E9" s="10"/>
      <c r="F9" s="23" t="s">
        <v>84</v>
      </c>
      <c r="G9" s="23" t="s">
        <v>97</v>
      </c>
      <c r="H9" s="26" t="s">
        <v>36</v>
      </c>
    </row>
    <row r="10" spans="1:8" x14ac:dyDescent="0.25">
      <c r="A10" t="s">
        <v>15</v>
      </c>
      <c r="B10" t="s">
        <v>26</v>
      </c>
      <c r="C10" s="20" t="s">
        <v>37</v>
      </c>
      <c r="D10" s="13" t="s">
        <v>48</v>
      </c>
      <c r="E10" s="10"/>
    </row>
    <row r="11" spans="1:8" ht="15.75" thickBot="1" x14ac:dyDescent="0.3">
      <c r="A11" s="18" t="s">
        <v>16</v>
      </c>
      <c r="B11" s="18" t="s">
        <v>31</v>
      </c>
      <c r="C11" s="21" t="s">
        <v>38</v>
      </c>
      <c r="D11" s="22" t="s">
        <v>53</v>
      </c>
      <c r="E11" s="10"/>
      <c r="F11" s="33" t="s">
        <v>85</v>
      </c>
      <c r="G11" s="33"/>
      <c r="H11" s="33"/>
    </row>
    <row r="12" spans="1:8" ht="15.75" thickBot="1" x14ac:dyDescent="0.3">
      <c r="A12" t="s">
        <v>17</v>
      </c>
      <c r="B12" t="s">
        <v>27</v>
      </c>
      <c r="C12" s="20" t="s">
        <v>39</v>
      </c>
      <c r="D12" s="13" t="s">
        <v>49</v>
      </c>
      <c r="E12" s="10"/>
      <c r="F12" s="14" t="s">
        <v>75</v>
      </c>
      <c r="G12" s="14" t="s">
        <v>76</v>
      </c>
      <c r="H12" s="14" t="s">
        <v>77</v>
      </c>
    </row>
    <row r="13" spans="1:8" x14ac:dyDescent="0.25">
      <c r="A13" s="18" t="s">
        <v>18</v>
      </c>
      <c r="B13" s="18" t="s">
        <v>28</v>
      </c>
      <c r="C13" s="21" t="s">
        <v>40</v>
      </c>
      <c r="D13" s="22" t="s">
        <v>50</v>
      </c>
      <c r="E13" s="10"/>
      <c r="F13" s="18" t="s">
        <v>86</v>
      </c>
      <c r="G13" s="18" t="s">
        <v>87</v>
      </c>
      <c r="H13" s="18" t="s">
        <v>9</v>
      </c>
    </row>
    <row r="14" spans="1:8" x14ac:dyDescent="0.25">
      <c r="A14" s="27" t="s">
        <v>19</v>
      </c>
      <c r="B14" s="27" t="s">
        <v>29</v>
      </c>
      <c r="C14" s="28" t="s">
        <v>41</v>
      </c>
      <c r="D14" s="29" t="s">
        <v>51</v>
      </c>
      <c r="E14" s="10"/>
      <c r="F14" t="s">
        <v>88</v>
      </c>
      <c r="G14" t="s">
        <v>89</v>
      </c>
      <c r="H14" t="s">
        <v>33</v>
      </c>
    </row>
    <row r="15" spans="1:8" x14ac:dyDescent="0.25">
      <c r="A15" s="18" t="s">
        <v>20</v>
      </c>
      <c r="B15" s="18" t="s">
        <v>30</v>
      </c>
      <c r="C15" s="21" t="s">
        <v>42</v>
      </c>
      <c r="D15" s="22" t="s">
        <v>54</v>
      </c>
      <c r="E15" s="10"/>
      <c r="F15" s="18" t="s">
        <v>90</v>
      </c>
      <c r="G15" s="18" t="s">
        <v>91</v>
      </c>
      <c r="H15" s="18" t="s">
        <v>34</v>
      </c>
    </row>
    <row r="16" spans="1:8" x14ac:dyDescent="0.25">
      <c r="A16" s="27" t="s">
        <v>21</v>
      </c>
      <c r="B16" s="27" t="s">
        <v>32</v>
      </c>
      <c r="C16" s="28" t="s">
        <v>43</v>
      </c>
      <c r="D16" s="29" t="s">
        <v>52</v>
      </c>
      <c r="E16" s="10"/>
      <c r="F16" s="27" t="s">
        <v>92</v>
      </c>
      <c r="G16" s="27" t="s">
        <v>93</v>
      </c>
      <c r="H16" s="27" t="s">
        <v>35</v>
      </c>
    </row>
  </sheetData>
  <mergeCells count="3">
    <mergeCell ref="A3:D3"/>
    <mergeCell ref="F3:H3"/>
    <mergeCell ref="F11:H1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CD719-EB61-4BC0-8AA0-D1D0CBFEE446}">
  <dimension ref="A1:E9"/>
  <sheetViews>
    <sheetView tabSelected="1" topLeftCell="B1" zoomScale="140" workbookViewId="0">
      <selection activeCell="D2" sqref="D2:E8"/>
    </sheetView>
  </sheetViews>
  <sheetFormatPr baseColWidth="10" defaultRowHeight="15" x14ac:dyDescent="0.25"/>
  <cols>
    <col min="1" max="1" width="2" bestFit="1" customWidth="1"/>
    <col min="2" max="2" width="14.85546875" bestFit="1" customWidth="1"/>
    <col min="4" max="4" width="35.140625" customWidth="1"/>
    <col min="5" max="5" width="14" bestFit="1" customWidth="1"/>
  </cols>
  <sheetData>
    <row r="1" spans="1:5" x14ac:dyDescent="0.25">
      <c r="B1" t="s">
        <v>98</v>
      </c>
      <c r="C1" t="s">
        <v>107</v>
      </c>
      <c r="D1" t="s">
        <v>108</v>
      </c>
      <c r="E1" t="s">
        <v>99</v>
      </c>
    </row>
    <row r="2" spans="1:5" x14ac:dyDescent="0.25">
      <c r="A2">
        <v>7</v>
      </c>
      <c r="B2" t="s">
        <v>100</v>
      </c>
      <c r="C2" s="42" t="s">
        <v>113</v>
      </c>
      <c r="D2" s="44" t="s">
        <v>118</v>
      </c>
      <c r="E2" s="42" t="s">
        <v>100</v>
      </c>
    </row>
    <row r="3" spans="1:5" x14ac:dyDescent="0.25">
      <c r="A3">
        <v>6</v>
      </c>
      <c r="B3" t="s">
        <v>101</v>
      </c>
      <c r="C3" s="42"/>
      <c r="D3" s="44"/>
      <c r="E3" s="42"/>
    </row>
    <row r="4" spans="1:5" x14ac:dyDescent="0.25">
      <c r="A4">
        <v>5</v>
      </c>
      <c r="B4" t="s">
        <v>102</v>
      </c>
      <c r="C4" s="42"/>
      <c r="D4" s="44"/>
      <c r="E4" s="42"/>
    </row>
    <row r="5" spans="1:5" x14ac:dyDescent="0.25">
      <c r="A5">
        <v>4</v>
      </c>
      <c r="B5" t="s">
        <v>103</v>
      </c>
      <c r="C5" s="43" t="s">
        <v>114</v>
      </c>
      <c r="D5" s="43" t="s">
        <v>119</v>
      </c>
      <c r="E5" s="43" t="s">
        <v>103</v>
      </c>
    </row>
    <row r="6" spans="1:5" x14ac:dyDescent="0.25">
      <c r="A6">
        <v>3</v>
      </c>
      <c r="B6" t="s">
        <v>104</v>
      </c>
      <c r="C6" s="43" t="s">
        <v>115</v>
      </c>
      <c r="D6" s="43" t="s">
        <v>120</v>
      </c>
      <c r="E6" t="s">
        <v>110</v>
      </c>
    </row>
    <row r="7" spans="1:5" x14ac:dyDescent="0.25">
      <c r="A7">
        <v>2</v>
      </c>
      <c r="B7" t="s">
        <v>105</v>
      </c>
      <c r="C7" s="43" t="s">
        <v>116</v>
      </c>
      <c r="D7" s="43" t="s">
        <v>121</v>
      </c>
      <c r="E7" s="42" t="s">
        <v>111</v>
      </c>
    </row>
    <row r="8" spans="1:5" x14ac:dyDescent="0.25">
      <c r="A8">
        <v>1</v>
      </c>
      <c r="B8" t="s">
        <v>106</v>
      </c>
      <c r="C8" s="43" t="s">
        <v>117</v>
      </c>
      <c r="D8" s="43" t="s">
        <v>122</v>
      </c>
      <c r="E8" s="42"/>
    </row>
    <row r="9" spans="1:5" x14ac:dyDescent="0.25">
      <c r="B9" s="41" t="s">
        <v>109</v>
      </c>
      <c r="E9" t="s">
        <v>112</v>
      </c>
    </row>
  </sheetData>
  <mergeCells count="4">
    <mergeCell ref="E2:E4"/>
    <mergeCell ref="E7:E8"/>
    <mergeCell ref="C2:C4"/>
    <mergeCell ref="D2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Cifrado</vt:lpstr>
      <vt:lpstr>Unidades</vt:lpstr>
      <vt:lpstr>Modelos</vt:lpstr>
      <vt:lpstr>DESPLAZAMIENTO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Racedo</dc:creator>
  <cp:lastModifiedBy>Cristian Racedo</cp:lastModifiedBy>
  <dcterms:created xsi:type="dcterms:W3CDTF">2026-03-26T22:51:14Z</dcterms:created>
  <dcterms:modified xsi:type="dcterms:W3CDTF">2026-04-01T00:50:09Z</dcterms:modified>
</cp:coreProperties>
</file>