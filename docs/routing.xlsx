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cacionIT\Documents\networks\CISCO\saves\ccna3-mj19\docs\"/>
    </mc:Choice>
  </mc:AlternateContent>
  <xr:revisionPtr revIDLastSave="0" documentId="13_ncr:1_{26104494-ABC1-4F53-9E7C-7E6A377112E0}" xr6:coauthVersionLast="47" xr6:coauthVersionMax="47" xr10:uidLastSave="{00000000-0000-0000-0000-000000000000}"/>
  <bookViews>
    <workbookView xWindow="-120" yWindow="-120" windowWidth="20730" windowHeight="11040" activeTab="2" xr2:uid="{9775BEA3-CF6A-4BD0-98D3-A009A1CC9C91}"/>
  </bookViews>
  <sheets>
    <sheet name="route" sheetId="1" r:id="rId1"/>
    <sheet name="ad" sheetId="2" r:id="rId2"/>
    <sheet name="ipv4" sheetId="3" r:id="rId3"/>
    <sheet name="ipv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3" l="1"/>
  <c r="M5" i="3"/>
  <c r="M3" i="3"/>
  <c r="J8" i="3"/>
  <c r="F8" i="3"/>
  <c r="B8" i="3"/>
</calcChain>
</file>

<file path=xl/sharedStrings.xml><?xml version="1.0" encoding="utf-8"?>
<sst xmlns="http://schemas.openxmlformats.org/spreadsheetml/2006/main" count="231" uniqueCount="136">
  <si>
    <t>10.0.0.0/8</t>
  </si>
  <si>
    <t>10.0.0.0/12</t>
  </si>
  <si>
    <t>10.0.0.0/16</t>
  </si>
  <si>
    <t>10.0.0.0/20</t>
  </si>
  <si>
    <t>10.0.0.0/24</t>
  </si>
  <si>
    <t>10.0.0.0/25</t>
  </si>
  <si>
    <t>10.0.0.0/27</t>
  </si>
  <si>
    <t>10.0.0.0/29</t>
  </si>
  <si>
    <t>10.0.0.0/30</t>
  </si>
  <si>
    <t>10.54.11.20</t>
  </si>
  <si>
    <t>10.0.24.11</t>
  </si>
  <si>
    <t>10.0.0.180</t>
  </si>
  <si>
    <t>10.0.0.120</t>
  </si>
  <si>
    <t>10.0.0.54</t>
  </si>
  <si>
    <t>10.0.0.24</t>
  </si>
  <si>
    <t>10.0.0.2</t>
  </si>
  <si>
    <t>x</t>
  </si>
  <si>
    <t>o</t>
  </si>
  <si>
    <t>OSPF</t>
  </si>
  <si>
    <t>AD</t>
  </si>
  <si>
    <t>PROTOCOLO</t>
  </si>
  <si>
    <t>LOCAL</t>
  </si>
  <si>
    <t>STATIC</t>
  </si>
  <si>
    <t>EIGRP</t>
  </si>
  <si>
    <t>IS-IS</t>
  </si>
  <si>
    <t>RIP</t>
  </si>
  <si>
    <t>UNREACHABLE</t>
  </si>
  <si>
    <t>TYPE</t>
  </si>
  <si>
    <t>O 10.0.0.0/24 (110/2)</t>
  </si>
  <si>
    <t>O 10.0.0.0/24 (110/3)</t>
  </si>
  <si>
    <t>O 10.0.0.0/24 (110/4)</t>
  </si>
  <si>
    <t>S 10.0.0.0/24 (150/0)</t>
  </si>
  <si>
    <t>IPv4</t>
  </si>
  <si>
    <t>A</t>
  </si>
  <si>
    <t>B</t>
  </si>
  <si>
    <t>C</t>
  </si>
  <si>
    <t>D</t>
  </si>
  <si>
    <t>E</t>
  </si>
  <si>
    <t>CLASE</t>
  </si>
  <si>
    <t>0.0.0.0</t>
  </si>
  <si>
    <t>128.0.0.0</t>
  </si>
  <si>
    <t>192.0.0.0</t>
  </si>
  <si>
    <t>224.0.0.0</t>
  </si>
  <si>
    <t>240.0.0.0</t>
  </si>
  <si>
    <r>
      <rPr>
        <sz val="11"/>
        <color rgb="FFC00000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0000000</t>
    </r>
  </si>
  <si>
    <r>
      <rPr>
        <sz val="11"/>
        <color rgb="FFC00000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>000000</t>
    </r>
  </si>
  <si>
    <r>
      <rPr>
        <sz val="11"/>
        <color rgb="FFC00000"/>
        <rFont val="Aptos Narrow"/>
        <family val="2"/>
        <scheme val="minor"/>
      </rPr>
      <t>110</t>
    </r>
    <r>
      <rPr>
        <sz val="11"/>
        <color theme="1"/>
        <rFont val="Aptos Narrow"/>
        <family val="2"/>
        <scheme val="minor"/>
      </rPr>
      <t>00000</t>
    </r>
  </si>
  <si>
    <r>
      <rPr>
        <sz val="11"/>
        <color rgb="FFC00000"/>
        <rFont val="Aptos Narrow"/>
        <family val="2"/>
        <scheme val="minor"/>
      </rPr>
      <t>1110</t>
    </r>
    <r>
      <rPr>
        <sz val="11"/>
        <color theme="1"/>
        <rFont val="Aptos Narrow"/>
        <family val="2"/>
        <scheme val="minor"/>
      </rPr>
      <t>0000</t>
    </r>
  </si>
  <si>
    <r>
      <rPr>
        <sz val="11"/>
        <color rgb="FFC00000"/>
        <rFont val="Aptos Narrow"/>
        <family val="2"/>
        <scheme val="minor"/>
      </rPr>
      <t>1111</t>
    </r>
    <r>
      <rPr>
        <sz val="11"/>
        <color theme="1"/>
        <rFont val="Aptos Narrow"/>
        <family val="2"/>
        <scheme val="minor"/>
      </rPr>
      <t>0000</t>
    </r>
  </si>
  <si>
    <r>
      <rPr>
        <sz val="11"/>
        <color rgb="FFC00000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1111111</t>
    </r>
  </si>
  <si>
    <r>
      <rPr>
        <sz val="11"/>
        <color rgb="FFC00000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>111111</t>
    </r>
  </si>
  <si>
    <r>
      <rPr>
        <sz val="11"/>
        <color rgb="FFC00000"/>
        <rFont val="Aptos Narrow"/>
        <family val="2"/>
        <scheme val="minor"/>
      </rPr>
      <t>110</t>
    </r>
    <r>
      <rPr>
        <sz val="11"/>
        <color theme="1"/>
        <rFont val="Aptos Narrow"/>
        <family val="2"/>
        <scheme val="minor"/>
      </rPr>
      <t>11111</t>
    </r>
  </si>
  <si>
    <r>
      <rPr>
        <sz val="11"/>
        <color rgb="FFC00000"/>
        <rFont val="Aptos Narrow"/>
        <family val="2"/>
        <scheme val="minor"/>
      </rPr>
      <t>1110</t>
    </r>
    <r>
      <rPr>
        <sz val="11"/>
        <color theme="1"/>
        <rFont val="Aptos Narrow"/>
        <family val="2"/>
        <scheme val="minor"/>
      </rPr>
      <t>1111</t>
    </r>
  </si>
  <si>
    <r>
      <rPr>
        <sz val="11"/>
        <color rgb="FFC00000"/>
        <rFont val="Aptos Narrow"/>
        <family val="2"/>
        <scheme val="minor"/>
      </rPr>
      <t>1111</t>
    </r>
    <r>
      <rPr>
        <sz val="11"/>
        <color theme="1"/>
        <rFont val="Aptos Narrow"/>
        <family val="2"/>
        <scheme val="minor"/>
      </rPr>
      <t>1111</t>
    </r>
  </si>
  <si>
    <t>INI</t>
  </si>
  <si>
    <t>FIN</t>
  </si>
  <si>
    <t>INI BIN</t>
  </si>
  <si>
    <t>FIN BIN</t>
  </si>
  <si>
    <t>IPv6</t>
  </si>
  <si>
    <t>Global</t>
  </si>
  <si>
    <t>Unique-Local</t>
  </si>
  <si>
    <t>Link-local</t>
  </si>
  <si>
    <t>Multicast</t>
  </si>
  <si>
    <t>BITS</t>
  </si>
  <si>
    <t>BIN</t>
  </si>
  <si>
    <t>3FFF</t>
  </si>
  <si>
    <r>
      <rPr>
        <sz val="11"/>
        <color rgb="FFC00000"/>
        <rFont val="Aptos Narrow"/>
        <family val="2"/>
        <scheme val="minor"/>
      </rPr>
      <t>001</t>
    </r>
    <r>
      <rPr>
        <sz val="11"/>
        <rFont val="Aptos Narrow"/>
        <family val="2"/>
        <scheme val="minor"/>
      </rPr>
      <t>0.0000.0000.0000</t>
    </r>
  </si>
  <si>
    <t>FC00</t>
  </si>
  <si>
    <t>FE80</t>
  </si>
  <si>
    <t>FF00</t>
  </si>
  <si>
    <r>
      <rPr>
        <sz val="11"/>
        <color rgb="FFC00000"/>
        <rFont val="Aptos Narrow"/>
        <family val="2"/>
        <scheme val="minor"/>
      </rPr>
      <t>1111.1111</t>
    </r>
    <r>
      <rPr>
        <sz val="11"/>
        <color theme="1"/>
        <rFont val="Aptos Narrow"/>
        <family val="2"/>
        <scheme val="minor"/>
      </rPr>
      <t>.0000.0000</t>
    </r>
  </si>
  <si>
    <r>
      <rPr>
        <sz val="11"/>
        <color rgb="FFC00000"/>
        <rFont val="Aptos Narrow"/>
        <family val="2"/>
        <scheme val="minor"/>
      </rPr>
      <t>1111.1110.10</t>
    </r>
    <r>
      <rPr>
        <sz val="11"/>
        <color theme="1"/>
        <rFont val="Aptos Narrow"/>
        <family val="2"/>
        <scheme val="minor"/>
      </rPr>
      <t>00.0000</t>
    </r>
  </si>
  <si>
    <t>FEBF</t>
  </si>
  <si>
    <t>FDFF</t>
  </si>
  <si>
    <r>
      <rPr>
        <sz val="11"/>
        <color rgb="FFC00000"/>
        <rFont val="Aptos Narrow"/>
        <family val="2"/>
        <scheme val="minor"/>
      </rPr>
      <t>1111.110</t>
    </r>
    <r>
      <rPr>
        <sz val="11"/>
        <color theme="1"/>
        <rFont val="Aptos Narrow"/>
        <family val="2"/>
        <scheme val="minor"/>
      </rPr>
      <t>0.0000.0000</t>
    </r>
  </si>
  <si>
    <t>FFFF</t>
  </si>
  <si>
    <t>Equivalencia</t>
  </si>
  <si>
    <t>IPv4 Publico</t>
  </si>
  <si>
    <t>IPv4 Privado</t>
  </si>
  <si>
    <t>IPv4 APIPA</t>
  </si>
  <si>
    <t>IPv4 Multicast</t>
  </si>
  <si>
    <t>Total</t>
  </si>
  <si>
    <t>PUBLICO</t>
  </si>
  <si>
    <t>INI DEC</t>
  </si>
  <si>
    <t>FIN DEC</t>
  </si>
  <si>
    <t>PRIVADO</t>
  </si>
  <si>
    <t>MULTICAST</t>
  </si>
  <si>
    <t>RESEARCH</t>
  </si>
  <si>
    <t>10.0.0.0</t>
  </si>
  <si>
    <t>172.16.0.0</t>
  </si>
  <si>
    <t>192.168.0.0</t>
  </si>
  <si>
    <t>172.31.255.255</t>
  </si>
  <si>
    <t>00001010.</t>
  </si>
  <si>
    <t>10101100.
00010000.</t>
  </si>
  <si>
    <t>10101100.
00011111.</t>
  </si>
  <si>
    <t>11000000.
10101000.
11111111.</t>
  </si>
  <si>
    <t>11000000.
10101000.
00000000.</t>
  </si>
  <si>
    <t>MASCARA</t>
  </si>
  <si>
    <t>CIDR</t>
  </si>
  <si>
    <t>HOSTS</t>
  </si>
  <si>
    <t>REDES</t>
  </si>
  <si>
    <t>255.255.255.0</t>
  </si>
  <si>
    <t>255.0.0.0</t>
  </si>
  <si>
    <t>255.255.0.0</t>
  </si>
  <si>
    <t>Direccion</t>
  </si>
  <si>
    <t>Ceros Izq.</t>
  </si>
  <si>
    <t>Resultado</t>
  </si>
  <si>
    <t>ACAD</t>
  </si>
  <si>
    <t>0DB8</t>
  </si>
  <si>
    <t>0001</t>
  </si>
  <si>
    <t>0000</t>
  </si>
  <si>
    <t>2001</t>
  </si>
  <si>
    <t>DB8</t>
  </si>
  <si>
    <t>1</t>
  </si>
  <si>
    <t>0</t>
  </si>
  <si>
    <t>::</t>
  </si>
  <si>
    <t>Conjunto</t>
  </si>
  <si>
    <t>2001:DB8:ACAD:1::1/64</t>
  </si>
  <si>
    <t>Global Address</t>
  </si>
  <si>
    <t>Interface ID</t>
  </si>
  <si>
    <t>SnetId</t>
  </si>
  <si>
    <t>Prefix</t>
  </si>
  <si>
    <t>64</t>
  </si>
  <si>
    <t>EUI-64</t>
  </si>
  <si>
    <t>D3</t>
  </si>
  <si>
    <t>D1</t>
  </si>
  <si>
    <t>9B</t>
  </si>
  <si>
    <t>FF</t>
  </si>
  <si>
    <t>FE</t>
  </si>
  <si>
    <t xml:space="preserve">4D </t>
  </si>
  <si>
    <t>link</t>
  </si>
  <si>
    <t>16b</t>
  </si>
  <si>
    <t>!7b</t>
  </si>
  <si>
    <r>
      <t xml:space="preserve">FE80::D19B:58FF:FE19:134D </t>
    </r>
    <r>
      <rPr>
        <b/>
        <sz val="11"/>
        <color theme="1"/>
        <rFont val="Aptos Narrow"/>
        <family val="2"/>
        <scheme val="minor"/>
      </rPr>
      <t>LINK-LOCAL</t>
    </r>
  </si>
  <si>
    <r>
      <t xml:space="preserve">MAC-ADDRESS:  </t>
    </r>
    <r>
      <rPr>
        <sz val="11"/>
        <color theme="0"/>
        <rFont val="Aptos Narrow"/>
        <family val="2"/>
        <scheme val="minor"/>
      </rPr>
      <t>D39B.5819.134D</t>
    </r>
  </si>
  <si>
    <t>NET\PACKET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</si>
</sst>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-0.249977111117893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 style="double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double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theme="1"/>
      </top>
      <bottom style="medium">
        <color indexed="64"/>
      </bottom>
      <diagonal/>
    </border>
    <border>
      <left/>
      <right/>
      <top style="double">
        <color theme="1"/>
      </top>
      <bottom style="medium">
        <color indexed="64"/>
      </bottom>
      <diagonal/>
    </border>
    <border>
      <left/>
      <right style="medium">
        <color indexed="64"/>
      </right>
      <top style="double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theme="1"/>
      </bottom>
      <diagonal/>
    </border>
    <border>
      <left/>
      <right style="medium">
        <color indexed="64"/>
      </right>
      <top/>
      <bottom style="double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0" fillId="2" borderId="0" xfId="0" applyFill="1"/>
    <xf numFmtId="0" fontId="4" fillId="4" borderId="0" xfId="0" applyFont="1" applyFill="1"/>
    <xf numFmtId="0" fontId="2" fillId="5" borderId="2" xfId="0" applyFont="1" applyFill="1" applyBorder="1"/>
    <xf numFmtId="0" fontId="3" fillId="7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6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3" fillId="7" borderId="7" xfId="0" applyFont="1" applyFill="1" applyBorder="1" applyAlignment="1">
      <alignment vertical="center"/>
    </xf>
    <xf numFmtId="0" fontId="3" fillId="7" borderId="8" xfId="0" applyFont="1" applyFill="1" applyBorder="1" applyAlignment="1">
      <alignment vertical="center"/>
    </xf>
    <xf numFmtId="0" fontId="0" fillId="0" borderId="9" xfId="0" applyBorder="1" applyAlignment="1">
      <alignment vertical="center"/>
    </xf>
    <xf numFmtId="49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49" fontId="0" fillId="0" borderId="10" xfId="0" applyNumberFormat="1" applyBorder="1" applyAlignment="1">
      <alignment vertical="center"/>
    </xf>
    <xf numFmtId="0" fontId="0" fillId="6" borderId="9" xfId="0" applyFill="1" applyBorder="1" applyAlignment="1">
      <alignment vertical="center"/>
    </xf>
    <xf numFmtId="49" fontId="0" fillId="6" borderId="0" xfId="0" applyNumberFormat="1" applyFill="1" applyAlignment="1">
      <alignment vertical="center"/>
    </xf>
    <xf numFmtId="3" fontId="0" fillId="6" borderId="0" xfId="0" applyNumberFormat="1" applyFill="1" applyAlignment="1">
      <alignment vertical="center"/>
    </xf>
    <xf numFmtId="49" fontId="0" fillId="6" borderId="10" xfId="0" applyNumberFormat="1" applyFill="1" applyBorder="1" applyAlignment="1">
      <alignment vertical="center"/>
    </xf>
    <xf numFmtId="0" fontId="0" fillId="0" borderId="9" xfId="0" applyBorder="1" applyAlignment="1">
      <alignment horizontal="right" vertical="center"/>
    </xf>
    <xf numFmtId="49" fontId="5" fillId="0" borderId="0" xfId="0" applyNumberFormat="1" applyFont="1" applyAlignment="1">
      <alignment vertical="center"/>
    </xf>
    <xf numFmtId="3" fontId="0" fillId="0" borderId="0" xfId="0" applyNumberFormat="1" applyAlignment="1">
      <alignment horizontal="right" vertical="center"/>
    </xf>
    <xf numFmtId="49" fontId="5" fillId="0" borderId="10" xfId="0" applyNumberFormat="1" applyFont="1" applyBorder="1" applyAlignment="1">
      <alignment vertical="center"/>
    </xf>
    <xf numFmtId="0" fontId="0" fillId="6" borderId="9" xfId="0" applyFill="1" applyBorder="1" applyAlignment="1">
      <alignment horizontal="right" vertical="center"/>
    </xf>
    <xf numFmtId="49" fontId="5" fillId="6" borderId="0" xfId="0" applyNumberFormat="1" applyFont="1" applyFill="1" applyAlignment="1">
      <alignment vertical="center" wrapText="1"/>
    </xf>
    <xf numFmtId="3" fontId="0" fillId="6" borderId="0" xfId="0" applyNumberFormat="1" applyFill="1" applyAlignment="1">
      <alignment horizontal="right" vertical="center"/>
    </xf>
    <xf numFmtId="49" fontId="5" fillId="6" borderId="10" xfId="0" applyNumberFormat="1" applyFont="1" applyFill="1" applyBorder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49" fontId="5" fillId="0" borderId="10" xfId="0" applyNumberFormat="1" applyFont="1" applyBorder="1" applyAlignment="1">
      <alignment vertical="center" wrapText="1"/>
    </xf>
    <xf numFmtId="1" fontId="0" fillId="0" borderId="0" xfId="0" applyNumberFormat="1" applyAlignment="1">
      <alignment vertical="center"/>
    </xf>
    <xf numFmtId="164" fontId="0" fillId="0" borderId="10" xfId="1" applyNumberFormat="1" applyFont="1" applyBorder="1" applyAlignment="1">
      <alignment vertical="center"/>
    </xf>
    <xf numFmtId="1" fontId="0" fillId="6" borderId="0" xfId="0" applyNumberFormat="1" applyFill="1" applyAlignment="1">
      <alignment vertical="center"/>
    </xf>
    <xf numFmtId="3" fontId="0" fillId="6" borderId="10" xfId="0" applyNumberFormat="1" applyFill="1" applyBorder="1" applyAlignment="1">
      <alignment horizontal="right" vertic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164" fontId="0" fillId="0" borderId="11" xfId="1" applyNumberFormat="1" applyFont="1" applyBorder="1" applyAlignment="1">
      <alignment horizontal="left" vertical="center"/>
    </xf>
    <xf numFmtId="164" fontId="0" fillId="0" borderId="12" xfId="1" applyNumberFormat="1" applyFont="1" applyBorder="1" applyAlignment="1">
      <alignment horizontal="left" vertical="center"/>
    </xf>
    <xf numFmtId="164" fontId="0" fillId="0" borderId="13" xfId="1" applyNumberFormat="1" applyFont="1" applyBorder="1" applyAlignment="1">
      <alignment horizontal="left" vertical="center"/>
    </xf>
    <xf numFmtId="0" fontId="0" fillId="6" borderId="9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6" borderId="0" xfId="0" applyFont="1" applyFill="1"/>
    <xf numFmtId="0" fontId="0" fillId="0" borderId="0" xfId="0" applyFont="1"/>
    <xf numFmtId="0" fontId="0" fillId="0" borderId="17" xfId="0" applyFont="1" applyBorder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5" borderId="2" xfId="0" applyFont="1" applyFill="1" applyBorder="1" applyAlignment="1">
      <alignment horizontal="center"/>
    </xf>
    <xf numFmtId="49" fontId="2" fillId="5" borderId="2" xfId="0" applyNumberFormat="1" applyFont="1" applyFill="1" applyBorder="1" applyAlignment="1">
      <alignment horizontal="center"/>
    </xf>
    <xf numFmtId="0" fontId="0" fillId="6" borderId="2" xfId="0" applyFont="1" applyFill="1" applyBorder="1"/>
    <xf numFmtId="0" fontId="0" fillId="6" borderId="2" xfId="0" applyFont="1" applyFill="1" applyBorder="1" applyAlignment="1">
      <alignment horizontal="center"/>
    </xf>
    <xf numFmtId="0" fontId="0" fillId="6" borderId="2" xfId="0" applyFont="1" applyFill="1" applyBorder="1" applyAlignment="1">
      <alignment horizontal="right"/>
    </xf>
    <xf numFmtId="49" fontId="0" fillId="6" borderId="2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49" fontId="0" fillId="0" borderId="0" xfId="0" applyNumberFormat="1" applyFont="1" applyAlignment="1">
      <alignment horizontal="center"/>
    </xf>
    <xf numFmtId="0" fontId="0" fillId="6" borderId="0" xfId="0" applyFont="1" applyFill="1" applyAlignment="1">
      <alignment horizontal="center"/>
    </xf>
    <xf numFmtId="0" fontId="0" fillId="6" borderId="0" xfId="0" applyFont="1" applyFill="1" applyAlignment="1">
      <alignment horizontal="right"/>
    </xf>
    <xf numFmtId="49" fontId="0" fillId="6" borderId="0" xfId="0" applyNumberFormat="1" applyFont="1" applyFill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7" xfId="0" applyFont="1" applyBorder="1" applyAlignment="1">
      <alignment horizontal="right"/>
    </xf>
    <xf numFmtId="49" fontId="0" fillId="0" borderId="17" xfId="0" applyNumberFormat="1" applyFont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49" fontId="0" fillId="0" borderId="17" xfId="0" applyNumberFormat="1" applyFont="1" applyBorder="1" applyAlignment="1">
      <alignment horizontal="center"/>
    </xf>
    <xf numFmtId="49" fontId="0" fillId="6" borderId="0" xfId="0" applyNumberFormat="1" applyFont="1" applyFill="1" applyAlignment="1">
      <alignment horizontal="center"/>
    </xf>
    <xf numFmtId="0" fontId="0" fillId="6" borderId="17" xfId="0" applyFont="1" applyFill="1" applyBorder="1"/>
    <xf numFmtId="0" fontId="0" fillId="6" borderId="17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left" indent="1"/>
    </xf>
    <xf numFmtId="0" fontId="6" fillId="0" borderId="0" xfId="0" applyFont="1" applyAlignment="1">
      <alignment horizontal="left" indent="1"/>
    </xf>
    <xf numFmtId="0" fontId="6" fillId="6" borderId="17" xfId="0" applyFont="1" applyFill="1" applyBorder="1" applyAlignment="1">
      <alignment horizontal="left" indent="1"/>
    </xf>
    <xf numFmtId="0" fontId="2" fillId="5" borderId="2" xfId="0" applyFont="1" applyFill="1" applyBorder="1" applyAlignment="1">
      <alignment horizontal="left" indent="1"/>
    </xf>
    <xf numFmtId="0" fontId="0" fillId="2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4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4" borderId="17" xfId="0" applyFont="1" applyFill="1" applyBorder="1" applyAlignment="1">
      <alignment horizontal="center"/>
    </xf>
    <xf numFmtId="0" fontId="0" fillId="2" borderId="17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7C8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9431-7726-4028-A622-641A837AF0E9}">
  <dimension ref="A1:H10"/>
  <sheetViews>
    <sheetView zoomScale="156" workbookViewId="0">
      <selection activeCell="C7" sqref="C7"/>
    </sheetView>
  </sheetViews>
  <sheetFormatPr baseColWidth="10" defaultColWidth="12" defaultRowHeight="15" x14ac:dyDescent="0.25"/>
  <cols>
    <col min="1" max="8" width="12" customWidth="1"/>
  </cols>
  <sheetData>
    <row r="1" spans="1:8" ht="15.75" thickBot="1" x14ac:dyDescent="0.3">
      <c r="A1" s="3" t="s">
        <v>135</v>
      </c>
      <c r="B1" s="49" t="s">
        <v>9</v>
      </c>
      <c r="C1" s="49" t="s">
        <v>10</v>
      </c>
      <c r="D1" s="49" t="s">
        <v>11</v>
      </c>
      <c r="E1" s="49" t="s">
        <v>12</v>
      </c>
      <c r="F1" s="49" t="s">
        <v>13</v>
      </c>
      <c r="G1" s="49" t="s">
        <v>14</v>
      </c>
      <c r="H1" s="49" t="s">
        <v>15</v>
      </c>
    </row>
    <row r="2" spans="1:8" x14ac:dyDescent="0.25">
      <c r="A2" s="51" t="s">
        <v>0</v>
      </c>
      <c r="B2" s="73" t="s">
        <v>17</v>
      </c>
      <c r="C2" s="74" t="s">
        <v>17</v>
      </c>
      <c r="D2" s="74" t="s">
        <v>17</v>
      </c>
      <c r="E2" s="74" t="s">
        <v>17</v>
      </c>
      <c r="F2" s="74" t="s">
        <v>17</v>
      </c>
      <c r="G2" s="74" t="s">
        <v>17</v>
      </c>
      <c r="H2" s="74" t="s">
        <v>17</v>
      </c>
    </row>
    <row r="3" spans="1:8" x14ac:dyDescent="0.25">
      <c r="A3" s="45" t="s">
        <v>1</v>
      </c>
      <c r="B3" s="75" t="s">
        <v>16</v>
      </c>
      <c r="C3" s="76" t="s">
        <v>17</v>
      </c>
      <c r="D3" s="76" t="s">
        <v>17</v>
      </c>
      <c r="E3" s="76" t="s">
        <v>17</v>
      </c>
      <c r="F3" s="76" t="s">
        <v>17</v>
      </c>
      <c r="G3" s="76" t="s">
        <v>17</v>
      </c>
      <c r="H3" s="76" t="s">
        <v>17</v>
      </c>
    </row>
    <row r="4" spans="1:8" x14ac:dyDescent="0.25">
      <c r="A4" s="44" t="s">
        <v>2</v>
      </c>
      <c r="B4" s="75" t="s">
        <v>16</v>
      </c>
      <c r="C4" s="77" t="s">
        <v>17</v>
      </c>
      <c r="D4" s="76" t="s">
        <v>17</v>
      </c>
      <c r="E4" s="76" t="s">
        <v>17</v>
      </c>
      <c r="F4" s="76" t="s">
        <v>17</v>
      </c>
      <c r="G4" s="76" t="s">
        <v>17</v>
      </c>
      <c r="H4" s="76" t="s">
        <v>17</v>
      </c>
    </row>
    <row r="5" spans="1:8" x14ac:dyDescent="0.25">
      <c r="A5" s="45" t="s">
        <v>3</v>
      </c>
      <c r="B5" s="75" t="s">
        <v>16</v>
      </c>
      <c r="C5" s="75" t="s">
        <v>16</v>
      </c>
      <c r="D5" s="76" t="s">
        <v>17</v>
      </c>
      <c r="E5" s="76" t="s">
        <v>17</v>
      </c>
      <c r="F5" s="76" t="s">
        <v>17</v>
      </c>
      <c r="G5" s="76" t="s">
        <v>17</v>
      </c>
      <c r="H5" s="76" t="s">
        <v>17</v>
      </c>
    </row>
    <row r="6" spans="1:8" x14ac:dyDescent="0.25">
      <c r="A6" s="44" t="s">
        <v>4</v>
      </c>
      <c r="B6" s="75" t="s">
        <v>16</v>
      </c>
      <c r="C6" s="75" t="s">
        <v>16</v>
      </c>
      <c r="D6" s="77" t="s">
        <v>17</v>
      </c>
      <c r="E6" s="76" t="s">
        <v>17</v>
      </c>
      <c r="F6" s="76" t="s">
        <v>17</v>
      </c>
      <c r="G6" s="76" t="s">
        <v>17</v>
      </c>
      <c r="H6" s="76" t="s">
        <v>17</v>
      </c>
    </row>
    <row r="7" spans="1:8" x14ac:dyDescent="0.25">
      <c r="A7" s="45" t="s">
        <v>5</v>
      </c>
      <c r="B7" s="75" t="s">
        <v>16</v>
      </c>
      <c r="C7" s="75" t="s">
        <v>16</v>
      </c>
      <c r="D7" s="75" t="s">
        <v>16</v>
      </c>
      <c r="E7" s="77" t="s">
        <v>17</v>
      </c>
      <c r="F7" s="77" t="s">
        <v>17</v>
      </c>
      <c r="G7" s="76" t="s">
        <v>17</v>
      </c>
      <c r="H7" s="76" t="s">
        <v>17</v>
      </c>
    </row>
    <row r="8" spans="1:8" x14ac:dyDescent="0.25">
      <c r="A8" s="44" t="s">
        <v>6</v>
      </c>
      <c r="B8" s="75" t="s">
        <v>16</v>
      </c>
      <c r="C8" s="75" t="s">
        <v>16</v>
      </c>
      <c r="D8" s="75" t="s">
        <v>16</v>
      </c>
      <c r="E8" s="75" t="s">
        <v>16</v>
      </c>
      <c r="F8" s="75" t="s">
        <v>16</v>
      </c>
      <c r="G8" s="77" t="s">
        <v>17</v>
      </c>
      <c r="H8" s="76" t="s">
        <v>17</v>
      </c>
    </row>
    <row r="9" spans="1:8" x14ac:dyDescent="0.25">
      <c r="A9" s="45" t="s">
        <v>7</v>
      </c>
      <c r="B9" s="75" t="s">
        <v>16</v>
      </c>
      <c r="C9" s="75" t="s">
        <v>16</v>
      </c>
      <c r="D9" s="75" t="s">
        <v>16</v>
      </c>
      <c r="E9" s="75" t="s">
        <v>16</v>
      </c>
      <c r="F9" s="75" t="s">
        <v>16</v>
      </c>
      <c r="G9" s="75" t="s">
        <v>16</v>
      </c>
      <c r="H9" s="76" t="s">
        <v>17</v>
      </c>
    </row>
    <row r="10" spans="1:8" ht="15.75" thickBot="1" x14ac:dyDescent="0.3">
      <c r="A10" s="67" t="s">
        <v>8</v>
      </c>
      <c r="B10" s="78" t="s">
        <v>16</v>
      </c>
      <c r="C10" s="78" t="s">
        <v>16</v>
      </c>
      <c r="D10" s="78" t="s">
        <v>16</v>
      </c>
      <c r="E10" s="78" t="s">
        <v>16</v>
      </c>
      <c r="F10" s="78" t="s">
        <v>16</v>
      </c>
      <c r="G10" s="78" t="s">
        <v>16</v>
      </c>
      <c r="H10" s="7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66CF-856B-416A-9223-968A84079862}">
  <dimension ref="A1:B14"/>
  <sheetViews>
    <sheetView zoomScale="157" workbookViewId="0">
      <selection activeCell="A2" sqref="A2:B3"/>
    </sheetView>
  </sheetViews>
  <sheetFormatPr baseColWidth="10" defaultRowHeight="15" x14ac:dyDescent="0.25"/>
  <cols>
    <col min="1" max="1" width="21.7109375" bestFit="1" customWidth="1"/>
  </cols>
  <sheetData>
    <row r="1" spans="1:2" x14ac:dyDescent="0.25">
      <c r="A1" t="s">
        <v>18</v>
      </c>
      <c r="B1" t="s">
        <v>27</v>
      </c>
    </row>
    <row r="2" spans="1:2" x14ac:dyDescent="0.25">
      <c r="A2" s="2" t="s">
        <v>31</v>
      </c>
      <c r="B2" s="2" t="s">
        <v>22</v>
      </c>
    </row>
    <row r="3" spans="1:2" x14ac:dyDescent="0.25">
      <c r="A3" s="1" t="s">
        <v>28</v>
      </c>
      <c r="B3" s="1" t="s">
        <v>18</v>
      </c>
    </row>
    <row r="4" spans="1:2" x14ac:dyDescent="0.25">
      <c r="A4" t="s">
        <v>29</v>
      </c>
      <c r="B4" t="s">
        <v>18</v>
      </c>
    </row>
    <row r="5" spans="1:2" x14ac:dyDescent="0.25">
      <c r="A5" t="s">
        <v>30</v>
      </c>
      <c r="B5" t="s">
        <v>18</v>
      </c>
    </row>
    <row r="7" spans="1:2" x14ac:dyDescent="0.25">
      <c r="A7" t="s">
        <v>20</v>
      </c>
      <c r="B7" t="s">
        <v>19</v>
      </c>
    </row>
    <row r="8" spans="1:2" x14ac:dyDescent="0.25">
      <c r="A8" t="s">
        <v>21</v>
      </c>
      <c r="B8">
        <v>0</v>
      </c>
    </row>
    <row r="9" spans="1:2" x14ac:dyDescent="0.25">
      <c r="A9" t="s">
        <v>22</v>
      </c>
      <c r="B9">
        <v>1</v>
      </c>
    </row>
    <row r="10" spans="1:2" x14ac:dyDescent="0.25">
      <c r="A10" t="s">
        <v>23</v>
      </c>
      <c r="B10">
        <v>90</v>
      </c>
    </row>
    <row r="11" spans="1:2" x14ac:dyDescent="0.25">
      <c r="A11" t="s">
        <v>18</v>
      </c>
      <c r="B11">
        <v>110</v>
      </c>
    </row>
    <row r="12" spans="1:2" x14ac:dyDescent="0.25">
      <c r="A12" t="s">
        <v>24</v>
      </c>
      <c r="B12">
        <v>115</v>
      </c>
    </row>
    <row r="13" spans="1:2" x14ac:dyDescent="0.25">
      <c r="A13" t="s">
        <v>25</v>
      </c>
      <c r="B13">
        <v>120</v>
      </c>
    </row>
    <row r="14" spans="1:2" x14ac:dyDescent="0.25">
      <c r="A14" t="s">
        <v>26</v>
      </c>
      <c r="B14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565DC-3EF5-4EBD-A9E2-63F501E9451D}">
  <dimension ref="A1:M8"/>
  <sheetViews>
    <sheetView tabSelected="1" zoomScale="98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0" sqref="C10"/>
    </sheetView>
  </sheetViews>
  <sheetFormatPr baseColWidth="10" defaultRowHeight="15" x14ac:dyDescent="0.25"/>
  <cols>
    <col min="1" max="1" width="6.28515625" bestFit="1" customWidth="1"/>
    <col min="2" max="2" width="8.85546875" bestFit="1" customWidth="1"/>
    <col min="3" max="3" width="9.140625" bestFit="1" customWidth="1"/>
    <col min="4" max="4" width="15" bestFit="1" customWidth="1"/>
    <col min="5" max="5" width="9.140625" bestFit="1" customWidth="1"/>
    <col min="6" max="6" width="11" bestFit="1" customWidth="1"/>
    <col min="7" max="7" width="9.7109375" bestFit="1" customWidth="1"/>
    <col min="8" max="8" width="15" bestFit="1" customWidth="1"/>
    <col min="9" max="9" width="9.7109375" bestFit="1" customWidth="1"/>
    <col min="10" max="10" width="13" bestFit="1" customWidth="1"/>
    <col min="11" max="11" width="5.28515625" bestFit="1" customWidth="1"/>
    <col min="12" max="12" width="6.5703125" bestFit="1" customWidth="1"/>
    <col min="13" max="13" width="11.5703125" bestFit="1" customWidth="1"/>
  </cols>
  <sheetData>
    <row r="1" spans="1:13" ht="15.75" thickBot="1" x14ac:dyDescent="0.3">
      <c r="A1" s="3" t="s">
        <v>32</v>
      </c>
      <c r="B1" s="32" t="s">
        <v>82</v>
      </c>
      <c r="C1" s="33"/>
      <c r="D1" s="33"/>
      <c r="E1" s="34"/>
      <c r="F1" s="32" t="s">
        <v>85</v>
      </c>
      <c r="G1" s="33"/>
      <c r="H1" s="33"/>
      <c r="I1" s="34"/>
      <c r="J1" s="32" t="s">
        <v>82</v>
      </c>
      <c r="K1" s="33"/>
      <c r="L1" s="33"/>
      <c r="M1" s="34"/>
    </row>
    <row r="2" spans="1:13" x14ac:dyDescent="0.25">
      <c r="A2" s="4" t="s">
        <v>38</v>
      </c>
      <c r="B2" s="8" t="s">
        <v>83</v>
      </c>
      <c r="C2" s="4" t="s">
        <v>56</v>
      </c>
      <c r="D2" s="4" t="s">
        <v>84</v>
      </c>
      <c r="E2" s="9" t="s">
        <v>57</v>
      </c>
      <c r="F2" s="8" t="s">
        <v>83</v>
      </c>
      <c r="G2" s="4" t="s">
        <v>56</v>
      </c>
      <c r="H2" s="4" t="s">
        <v>84</v>
      </c>
      <c r="I2" s="9" t="s">
        <v>57</v>
      </c>
      <c r="J2" s="8" t="s">
        <v>97</v>
      </c>
      <c r="K2" s="4" t="s">
        <v>98</v>
      </c>
      <c r="L2" s="4" t="s">
        <v>100</v>
      </c>
      <c r="M2" s="9" t="s">
        <v>99</v>
      </c>
    </row>
    <row r="3" spans="1:13" x14ac:dyDescent="0.25">
      <c r="A3" s="5" t="s">
        <v>33</v>
      </c>
      <c r="B3" s="10" t="s">
        <v>39</v>
      </c>
      <c r="C3" s="11" t="s">
        <v>44</v>
      </c>
      <c r="D3" s="12">
        <v>127255255255</v>
      </c>
      <c r="E3" s="13" t="s">
        <v>49</v>
      </c>
      <c r="F3" s="18" t="s">
        <v>88</v>
      </c>
      <c r="G3" s="19" t="s">
        <v>92</v>
      </c>
      <c r="H3" s="20">
        <v>10255255255</v>
      </c>
      <c r="I3" s="21" t="s">
        <v>92</v>
      </c>
      <c r="J3" s="10" t="s">
        <v>102</v>
      </c>
      <c r="K3" s="28">
        <v>8</v>
      </c>
      <c r="L3" s="12">
        <v>1</v>
      </c>
      <c r="M3" s="29">
        <f>2^(32-K3)-2</f>
        <v>16777214</v>
      </c>
    </row>
    <row r="4" spans="1:13" ht="30" x14ac:dyDescent="0.25">
      <c r="A4" s="6" t="s">
        <v>34</v>
      </c>
      <c r="B4" s="14" t="s">
        <v>40</v>
      </c>
      <c r="C4" s="15" t="s">
        <v>45</v>
      </c>
      <c r="D4" s="16">
        <v>191255255255</v>
      </c>
      <c r="E4" s="17" t="s">
        <v>50</v>
      </c>
      <c r="F4" s="22" t="s">
        <v>89</v>
      </c>
      <c r="G4" s="23" t="s">
        <v>93</v>
      </c>
      <c r="H4" s="24" t="s">
        <v>91</v>
      </c>
      <c r="I4" s="25" t="s">
        <v>94</v>
      </c>
      <c r="J4" s="14" t="s">
        <v>103</v>
      </c>
      <c r="K4" s="30">
        <v>16</v>
      </c>
      <c r="L4" s="16">
        <v>16</v>
      </c>
      <c r="M4" s="31">
        <f t="shared" ref="M4:M5" si="0">2^(32-K4)-2</f>
        <v>65534</v>
      </c>
    </row>
    <row r="5" spans="1:13" ht="45" x14ac:dyDescent="0.25">
      <c r="A5" s="5" t="s">
        <v>35</v>
      </c>
      <c r="B5" s="10" t="s">
        <v>41</v>
      </c>
      <c r="C5" s="11" t="s">
        <v>46</v>
      </c>
      <c r="D5" s="12">
        <v>223255255255</v>
      </c>
      <c r="E5" s="13" t="s">
        <v>51</v>
      </c>
      <c r="F5" s="18" t="s">
        <v>90</v>
      </c>
      <c r="G5" s="26" t="s">
        <v>96</v>
      </c>
      <c r="H5" s="20">
        <v>192168255255</v>
      </c>
      <c r="I5" s="27" t="s">
        <v>95</v>
      </c>
      <c r="J5" s="10" t="s">
        <v>101</v>
      </c>
      <c r="K5" s="28">
        <v>24</v>
      </c>
      <c r="L5" s="12">
        <v>256</v>
      </c>
      <c r="M5" s="29">
        <f t="shared" si="0"/>
        <v>254</v>
      </c>
    </row>
    <row r="6" spans="1:13" x14ac:dyDescent="0.25">
      <c r="A6" s="6" t="s">
        <v>36</v>
      </c>
      <c r="B6" s="14" t="s">
        <v>42</v>
      </c>
      <c r="C6" s="15" t="s">
        <v>47</v>
      </c>
      <c r="D6" s="16">
        <v>239255255255</v>
      </c>
      <c r="E6" s="17" t="s">
        <v>52</v>
      </c>
      <c r="F6" s="38" t="s">
        <v>86</v>
      </c>
      <c r="G6" s="39"/>
      <c r="H6" s="39"/>
      <c r="I6" s="40"/>
      <c r="J6" s="38" t="s">
        <v>86</v>
      </c>
      <c r="K6" s="39"/>
      <c r="L6" s="39"/>
      <c r="M6" s="40"/>
    </row>
    <row r="7" spans="1:13" ht="15.75" thickBot="1" x14ac:dyDescent="0.3">
      <c r="A7" s="5" t="s">
        <v>37</v>
      </c>
      <c r="B7" s="10" t="s">
        <v>43</v>
      </c>
      <c r="C7" s="11" t="s">
        <v>48</v>
      </c>
      <c r="D7" s="12">
        <v>255255255255</v>
      </c>
      <c r="E7" s="13" t="s">
        <v>53</v>
      </c>
      <c r="F7" s="41" t="s">
        <v>87</v>
      </c>
      <c r="G7" s="42"/>
      <c r="H7" s="42"/>
      <c r="I7" s="43"/>
      <c r="J7" s="41" t="s">
        <v>87</v>
      </c>
      <c r="K7" s="42"/>
      <c r="L7" s="42"/>
      <c r="M7" s="43"/>
    </row>
    <row r="8" spans="1:13" ht="16.5" thickTop="1" thickBot="1" x14ac:dyDescent="0.3">
      <c r="A8" s="7" t="s">
        <v>81</v>
      </c>
      <c r="B8" s="35">
        <f>2^32</f>
        <v>4294967296</v>
      </c>
      <c r="C8" s="36"/>
      <c r="D8" s="36"/>
      <c r="E8" s="37"/>
      <c r="F8" s="35">
        <f>2^32</f>
        <v>4294967296</v>
      </c>
      <c r="G8" s="36"/>
      <c r="H8" s="36"/>
      <c r="I8" s="37"/>
      <c r="J8" s="35">
        <f>2^32</f>
        <v>4294967296</v>
      </c>
      <c r="K8" s="36"/>
      <c r="L8" s="36"/>
      <c r="M8" s="37"/>
    </row>
  </sheetData>
  <mergeCells count="10">
    <mergeCell ref="B1:E1"/>
    <mergeCell ref="B8:E8"/>
    <mergeCell ref="F1:I1"/>
    <mergeCell ref="F8:I8"/>
    <mergeCell ref="J1:M1"/>
    <mergeCell ref="J8:M8"/>
    <mergeCell ref="F6:I6"/>
    <mergeCell ref="F7:I7"/>
    <mergeCell ref="J6:M6"/>
    <mergeCell ref="J7:M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3A49A-43BB-415B-ABDB-844C12E64EE1}">
  <dimension ref="A1:Q10"/>
  <sheetViews>
    <sheetView zoomScaleNormal="100" workbookViewId="0">
      <selection activeCell="B8" sqref="B8:I9"/>
    </sheetView>
  </sheetViews>
  <sheetFormatPr baseColWidth="10" defaultRowHeight="15" x14ac:dyDescent="0.25"/>
  <cols>
    <col min="1" max="1" width="9.85546875" bestFit="1" customWidth="1"/>
    <col min="2" max="10" width="7" customWidth="1"/>
    <col min="11" max="11" width="2.7109375" customWidth="1"/>
    <col min="12" max="12" width="12.7109375" bestFit="1" customWidth="1"/>
    <col min="13" max="13" width="5.42578125" style="47" bestFit="1" customWidth="1"/>
    <col min="14" max="14" width="5.28515625" style="47" bestFit="1" customWidth="1"/>
    <col min="15" max="15" width="4.85546875" style="47" bestFit="1" customWidth="1"/>
    <col min="16" max="16" width="19.7109375" style="48" bestFit="1" customWidth="1"/>
    <col min="17" max="17" width="13.140625" bestFit="1" customWidth="1"/>
  </cols>
  <sheetData>
    <row r="1" spans="1:17" ht="15.75" thickBot="1" x14ac:dyDescent="0.3">
      <c r="A1" s="3" t="s">
        <v>58</v>
      </c>
      <c r="B1" s="64" t="s">
        <v>118</v>
      </c>
      <c r="C1" s="64"/>
      <c r="D1" s="64"/>
      <c r="E1" s="3" t="s">
        <v>120</v>
      </c>
      <c r="F1" s="64" t="s">
        <v>119</v>
      </c>
      <c r="G1" s="64"/>
      <c r="H1" s="64"/>
      <c r="I1" s="64"/>
      <c r="J1" s="3" t="s">
        <v>121</v>
      </c>
      <c r="L1" s="3" t="s">
        <v>58</v>
      </c>
      <c r="M1" s="49" t="s">
        <v>54</v>
      </c>
      <c r="N1" s="49" t="s">
        <v>55</v>
      </c>
      <c r="O1" s="49" t="s">
        <v>63</v>
      </c>
      <c r="P1" s="50" t="s">
        <v>64</v>
      </c>
      <c r="Q1" s="3" t="s">
        <v>76</v>
      </c>
    </row>
    <row r="2" spans="1:17" x14ac:dyDescent="0.25">
      <c r="A2" s="51" t="s">
        <v>104</v>
      </c>
      <c r="B2" s="54">
        <v>2001</v>
      </c>
      <c r="C2" s="54" t="s">
        <v>108</v>
      </c>
      <c r="D2" s="54" t="s">
        <v>107</v>
      </c>
      <c r="E2" s="54" t="s">
        <v>109</v>
      </c>
      <c r="F2" s="54" t="s">
        <v>110</v>
      </c>
      <c r="G2" s="54" t="s">
        <v>110</v>
      </c>
      <c r="H2" s="54" t="s">
        <v>110</v>
      </c>
      <c r="I2" s="54" t="s">
        <v>109</v>
      </c>
      <c r="J2" s="54" t="s">
        <v>122</v>
      </c>
      <c r="L2" s="51" t="s">
        <v>59</v>
      </c>
      <c r="M2" s="52">
        <v>2000</v>
      </c>
      <c r="N2" s="52" t="s">
        <v>65</v>
      </c>
      <c r="O2" s="53">
        <v>3</v>
      </c>
      <c r="P2" s="54" t="s">
        <v>66</v>
      </c>
      <c r="Q2" s="51" t="s">
        <v>77</v>
      </c>
    </row>
    <row r="3" spans="1:17" x14ac:dyDescent="0.25">
      <c r="A3" s="45" t="s">
        <v>105</v>
      </c>
      <c r="B3" s="57" t="s">
        <v>111</v>
      </c>
      <c r="C3" s="57" t="s">
        <v>112</v>
      </c>
      <c r="D3" s="57" t="s">
        <v>107</v>
      </c>
      <c r="E3" s="57" t="s">
        <v>113</v>
      </c>
      <c r="F3" s="57" t="s">
        <v>114</v>
      </c>
      <c r="G3" s="57" t="s">
        <v>114</v>
      </c>
      <c r="H3" s="57" t="s">
        <v>114</v>
      </c>
      <c r="I3" s="57" t="s">
        <v>113</v>
      </c>
      <c r="J3" s="57" t="s">
        <v>122</v>
      </c>
      <c r="L3" s="45" t="s">
        <v>60</v>
      </c>
      <c r="M3" s="55" t="s">
        <v>67</v>
      </c>
      <c r="N3" s="55" t="s">
        <v>73</v>
      </c>
      <c r="O3" s="56">
        <v>7</v>
      </c>
      <c r="P3" s="57" t="s">
        <v>74</v>
      </c>
      <c r="Q3" s="45" t="s">
        <v>78</v>
      </c>
    </row>
    <row r="4" spans="1:17" x14ac:dyDescent="0.25">
      <c r="A4" s="44" t="s">
        <v>116</v>
      </c>
      <c r="B4" s="60" t="s">
        <v>111</v>
      </c>
      <c r="C4" s="60" t="s">
        <v>112</v>
      </c>
      <c r="D4" s="60" t="s">
        <v>107</v>
      </c>
      <c r="E4" s="60" t="s">
        <v>113</v>
      </c>
      <c r="F4" s="66" t="s">
        <v>115</v>
      </c>
      <c r="G4" s="66"/>
      <c r="H4" s="66"/>
      <c r="I4" s="60" t="s">
        <v>113</v>
      </c>
      <c r="J4" s="60" t="s">
        <v>122</v>
      </c>
      <c r="L4" s="44" t="s">
        <v>61</v>
      </c>
      <c r="M4" s="58" t="s">
        <v>68</v>
      </c>
      <c r="N4" s="58" t="s">
        <v>72</v>
      </c>
      <c r="O4" s="59">
        <v>10</v>
      </c>
      <c r="P4" s="60" t="s">
        <v>71</v>
      </c>
      <c r="Q4" s="44" t="s">
        <v>79</v>
      </c>
    </row>
    <row r="5" spans="1:17" ht="15.75" thickBot="1" x14ac:dyDescent="0.3">
      <c r="A5" s="46" t="s">
        <v>106</v>
      </c>
      <c r="B5" s="65" t="s">
        <v>117</v>
      </c>
      <c r="C5" s="65"/>
      <c r="D5" s="65"/>
      <c r="E5" s="65"/>
      <c r="F5" s="65"/>
      <c r="G5" s="65"/>
      <c r="H5" s="65"/>
      <c r="I5" s="65"/>
      <c r="J5" s="65"/>
      <c r="L5" s="46" t="s">
        <v>62</v>
      </c>
      <c r="M5" s="61" t="s">
        <v>69</v>
      </c>
      <c r="N5" s="61" t="s">
        <v>75</v>
      </c>
      <c r="O5" s="62">
        <v>8</v>
      </c>
      <c r="P5" s="63" t="s">
        <v>70</v>
      </c>
      <c r="Q5" s="46" t="s">
        <v>80</v>
      </c>
    </row>
    <row r="6" spans="1:17" ht="15.75" thickBot="1" x14ac:dyDescent="0.3"/>
    <row r="7" spans="1:17" ht="15.75" thickBot="1" x14ac:dyDescent="0.3">
      <c r="A7" s="72" t="s">
        <v>123</v>
      </c>
      <c r="B7" s="64" t="s">
        <v>134</v>
      </c>
      <c r="C7" s="64"/>
      <c r="D7" s="64"/>
      <c r="E7" s="64"/>
      <c r="F7" s="64"/>
      <c r="G7" s="64"/>
      <c r="H7" s="64"/>
      <c r="I7" s="64"/>
      <c r="J7" s="64"/>
    </row>
    <row r="8" spans="1:17" x14ac:dyDescent="0.25">
      <c r="A8" s="69" t="s">
        <v>131</v>
      </c>
      <c r="B8" s="52" t="s">
        <v>124</v>
      </c>
      <c r="C8" s="52" t="s">
        <v>126</v>
      </c>
      <c r="D8" s="52">
        <v>58</v>
      </c>
      <c r="E8" s="52" t="s">
        <v>127</v>
      </c>
      <c r="F8" s="52" t="s">
        <v>128</v>
      </c>
      <c r="G8" s="52">
        <v>19</v>
      </c>
      <c r="H8" s="52">
        <v>13</v>
      </c>
      <c r="I8" s="52" t="s">
        <v>129</v>
      </c>
      <c r="J8" s="52" t="s">
        <v>130</v>
      </c>
    </row>
    <row r="9" spans="1:17" x14ac:dyDescent="0.25">
      <c r="A9" s="70" t="s">
        <v>132</v>
      </c>
      <c r="B9" s="55" t="s">
        <v>125</v>
      </c>
      <c r="C9" s="55" t="s">
        <v>126</v>
      </c>
      <c r="D9" s="55">
        <v>58</v>
      </c>
      <c r="E9" s="55" t="s">
        <v>127</v>
      </c>
      <c r="F9" s="55" t="s">
        <v>128</v>
      </c>
      <c r="G9" s="55">
        <v>19</v>
      </c>
      <c r="H9" s="55">
        <v>13</v>
      </c>
      <c r="I9" s="55" t="s">
        <v>129</v>
      </c>
      <c r="J9" s="55" t="s">
        <v>130</v>
      </c>
    </row>
    <row r="10" spans="1:17" ht="15.75" thickBot="1" x14ac:dyDescent="0.3">
      <c r="A10" s="71" t="s">
        <v>58</v>
      </c>
      <c r="B10" s="68" t="s">
        <v>133</v>
      </c>
      <c r="C10" s="68"/>
      <c r="D10" s="68"/>
      <c r="E10" s="68"/>
      <c r="F10" s="68"/>
      <c r="G10" s="68"/>
      <c r="H10" s="68"/>
      <c r="I10" s="68"/>
      <c r="J10" s="68"/>
    </row>
  </sheetData>
  <mergeCells count="6">
    <mergeCell ref="B7:J7"/>
    <mergeCell ref="B10:J10"/>
    <mergeCell ref="F4:H4"/>
    <mergeCell ref="B1:D1"/>
    <mergeCell ref="F1:I1"/>
    <mergeCell ref="B5:J5"/>
  </mergeCells>
  <pageMargins left="0.7" right="0.7" top="0.75" bottom="0.75" header="0.3" footer="0.3"/>
  <ignoredErrors>
    <ignoredError sqref="B3:B4 E2:J3 E4 I4:J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route</vt:lpstr>
      <vt:lpstr>ad</vt:lpstr>
      <vt:lpstr>ipv4</vt:lpstr>
      <vt:lpstr>ipv6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Racedo</dc:creator>
  <cp:lastModifiedBy>Cristian Racedo</cp:lastModifiedBy>
  <dcterms:created xsi:type="dcterms:W3CDTF">2026-05-05T22:28:53Z</dcterms:created>
  <dcterms:modified xsi:type="dcterms:W3CDTF">2026-05-22T02:04:37Z</dcterms:modified>
</cp:coreProperties>
</file>