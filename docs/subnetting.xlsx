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cacionIT\Documents\networks\CISCO\saves\ccna3-mj19\docs\"/>
    </mc:Choice>
  </mc:AlternateContent>
  <xr:revisionPtr revIDLastSave="0" documentId="13_ncr:1_{736741EE-C3C0-4D9A-AC2E-F6A43D96A478}" xr6:coauthVersionLast="47" xr6:coauthVersionMax="47" xr10:uidLastSave="{00000000-0000-0000-0000-000000000000}"/>
  <bookViews>
    <workbookView xWindow="-120" yWindow="-120" windowWidth="20730" windowHeight="11040" activeTab="2" xr2:uid="{6CC7F3B6-0E76-4A84-A289-D4D7C16C1F46}"/>
  </bookViews>
  <sheets>
    <sheet name="Glosario" sheetId="4" r:id="rId1"/>
    <sheet name="sistemas" sheetId="2" r:id="rId2"/>
    <sheet name="VLSM" sheetId="1" r:id="rId3"/>
    <sheet name="AN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33" i="1"/>
  <c r="H34" i="1"/>
  <c r="H31" i="1"/>
  <c r="C34" i="1"/>
  <c r="J34" i="1" s="1"/>
  <c r="C33" i="1"/>
  <c r="J33" i="1" s="1"/>
  <c r="C32" i="1"/>
  <c r="J32" i="1" s="1"/>
  <c r="C31" i="1"/>
  <c r="J31" i="1" s="1"/>
  <c r="C29" i="1"/>
  <c r="J29" i="1" s="1"/>
  <c r="C28" i="1"/>
  <c r="H28" i="1" s="1"/>
  <c r="C19" i="1"/>
  <c r="H19" i="1" s="1"/>
  <c r="C20" i="1"/>
  <c r="H20" i="1" s="1"/>
  <c r="C21" i="1"/>
  <c r="H21" i="1"/>
  <c r="J21" i="1"/>
  <c r="C22" i="1"/>
  <c r="J22" i="1" s="1"/>
  <c r="C23" i="1"/>
  <c r="H23" i="1"/>
  <c r="J23" i="1"/>
  <c r="C24" i="1"/>
  <c r="J24" i="1" s="1"/>
  <c r="H24" i="1"/>
  <c r="C15" i="1"/>
  <c r="J15" i="1" s="1"/>
  <c r="C10" i="1"/>
  <c r="J10" i="1" s="1"/>
  <c r="C11" i="1"/>
  <c r="J11" i="1" s="1"/>
  <c r="C13" i="1"/>
  <c r="J13" i="1" s="1"/>
  <c r="C14" i="1"/>
  <c r="J14" i="1" s="1"/>
  <c r="C12" i="1"/>
  <c r="J12" i="1" s="1"/>
  <c r="H22" i="1" l="1"/>
  <c r="H29" i="1"/>
  <c r="J28" i="1"/>
  <c r="J19" i="1"/>
  <c r="J20" i="1"/>
  <c r="H13" i="1"/>
  <c r="H12" i="1"/>
  <c r="H10" i="1"/>
  <c r="H14" i="1"/>
  <c r="H11" i="1"/>
  <c r="H15" i="1"/>
</calcChain>
</file>

<file path=xl/sharedStrings.xml><?xml version="1.0" encoding="utf-8"?>
<sst xmlns="http://schemas.openxmlformats.org/spreadsheetml/2006/main" count="240" uniqueCount="121">
  <si>
    <t>A</t>
  </si>
  <si>
    <t>B</t>
  </si>
  <si>
    <t>C</t>
  </si>
  <si>
    <t>D</t>
  </si>
  <si>
    <t>E</t>
  </si>
  <si>
    <t>F</t>
  </si>
  <si>
    <t>DISPOSITIVOS</t>
  </si>
  <si>
    <t>90 computadoras 10 impresoras 8 switches 1 router</t>
  </si>
  <si>
    <t>HOSTS</t>
  </si>
  <si>
    <t>BITS</t>
  </si>
  <si>
    <t>TOTAL</t>
  </si>
  <si>
    <t>15 computadoras 2 impresoras 1 switch 1 router</t>
  </si>
  <si>
    <t>40 computadoras 5 impresoras 3 switches 1 router</t>
  </si>
  <si>
    <t>150 computadoras 30 impresoras 20 switches 1router</t>
  </si>
  <si>
    <t>200 computadoras 50 impresoras 30 switches 1 router</t>
  </si>
  <si>
    <t>2 routers</t>
  </si>
  <si>
    <t>DTO</t>
  </si>
  <si>
    <t>10.0.0.0</t>
  </si>
  <si>
    <t>PRIMER IP</t>
  </si>
  <si>
    <t>ULTIMA IP</t>
  </si>
  <si>
    <t>BROADCAST</t>
  </si>
  <si>
    <t>NETWORK</t>
  </si>
  <si>
    <t>10.0.0.1</t>
  </si>
  <si>
    <t>CIDR</t>
  </si>
  <si>
    <t>MASK</t>
  </si>
  <si>
    <t>255.255.254.0</t>
  </si>
  <si>
    <t>10.0.2.0</t>
  </si>
  <si>
    <t>10.0.1.0</t>
  </si>
  <si>
    <t>10.0.4.0</t>
  </si>
  <si>
    <t>10.0.1.255</t>
  </si>
  <si>
    <t>10.0.1.254</t>
  </si>
  <si>
    <t>10.0.2.1</t>
  </si>
  <si>
    <t>10.0.2.255</t>
  </si>
  <si>
    <t>10.0.2.254</t>
  </si>
  <si>
    <t>255.255.255.0</t>
  </si>
  <si>
    <t>10.0.3.0</t>
  </si>
  <si>
    <t>10.0.3.1</t>
  </si>
  <si>
    <t>10.0.3.128</t>
  </si>
  <si>
    <t>10.0.3.127</t>
  </si>
  <si>
    <t>10.0.3.126</t>
  </si>
  <si>
    <t>10.0.3.191</t>
  </si>
  <si>
    <t>10.0.3.190</t>
  </si>
  <si>
    <t>10.0.3.129</t>
  </si>
  <si>
    <t>10.0.3.192</t>
  </si>
  <si>
    <t>10.0.3.193</t>
  </si>
  <si>
    <t>10.0.3.224</t>
  </si>
  <si>
    <t>10.0.3.223</t>
  </si>
  <si>
    <t>10.0.3.222</t>
  </si>
  <si>
    <t>10.0.3.225</t>
  </si>
  <si>
    <t>10.0.3.226</t>
  </si>
  <si>
    <t>10.0.3.227</t>
  </si>
  <si>
    <t>10.0.3.228</t>
  </si>
  <si>
    <t>10.0.0.126</t>
  </si>
  <si>
    <t>10.0.0.127</t>
  </si>
  <si>
    <t>10.0.0.128</t>
  </si>
  <si>
    <t>10.0.0.129</t>
  </si>
  <si>
    <t>10.0.0.160</t>
  </si>
  <si>
    <t>10.0.0.158</t>
  </si>
  <si>
    <t>10.0.0.159</t>
  </si>
  <si>
    <t>10.0.0.224</t>
  </si>
  <si>
    <t>10.0.0.223</t>
  </si>
  <si>
    <t>10.0.0.222</t>
  </si>
  <si>
    <t>10.0.0.161</t>
  </si>
  <si>
    <t>10.0.1.224</t>
  </si>
  <si>
    <t>10.0.0.225</t>
  </si>
  <si>
    <t>10.0.1222</t>
  </si>
  <si>
    <t>10.0.1.223</t>
  </si>
  <si>
    <t>10.0.1.225</t>
  </si>
  <si>
    <t>PROBLEMAS</t>
  </si>
  <si>
    <t>-</t>
  </si>
  <si>
    <t>AND</t>
  </si>
  <si>
    <t>IP</t>
  </si>
  <si>
    <t>decimal</t>
  </si>
  <si>
    <t>Byte 1</t>
  </si>
  <si>
    <t>Byte 2</t>
  </si>
  <si>
    <t>Byte 3</t>
  </si>
  <si>
    <t>Byte 4</t>
  </si>
  <si>
    <t>00001010</t>
  </si>
  <si>
    <t>11111111</t>
  </si>
  <si>
    <t>00000000</t>
  </si>
  <si>
    <r>
      <t>0000</t>
    </r>
    <r>
      <rPr>
        <sz val="11"/>
        <color rgb="FFC00000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0</t>
    </r>
    <r>
      <rPr>
        <sz val="11"/>
        <color rgb="FFC00000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0</t>
    </r>
  </si>
  <si>
    <r>
      <rPr>
        <sz val="11"/>
        <color rgb="FFC00000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0100000</t>
    </r>
  </si>
  <si>
    <t>10.0.0.191</t>
  </si>
  <si>
    <r>
      <rPr>
        <sz val="11"/>
        <color rgb="FFC00000"/>
        <rFont val="Aptos Narrow"/>
        <family val="2"/>
        <scheme val="minor"/>
      </rPr>
      <t>11</t>
    </r>
    <r>
      <rPr>
        <sz val="11"/>
        <color theme="3" tint="0.249977111117893"/>
        <rFont val="Aptos Narrow"/>
        <family val="2"/>
        <scheme val="minor"/>
      </rPr>
      <t>000000</t>
    </r>
  </si>
  <si>
    <r>
      <t>10</t>
    </r>
    <r>
      <rPr>
        <sz val="11"/>
        <color theme="3" tint="0.249977111117893"/>
        <rFont val="Aptos Narrow"/>
        <family val="2"/>
        <scheme val="minor"/>
      </rPr>
      <t>000000</t>
    </r>
  </si>
  <si>
    <t>10.0.0.192</t>
  </si>
  <si>
    <t>10.0.0.255</t>
  </si>
  <si>
    <t>10.0.0.193</t>
  </si>
  <si>
    <t>10.0.0.254</t>
  </si>
  <si>
    <t>10.0.1.1</t>
  </si>
  <si>
    <t>10.0.21</t>
  </si>
  <si>
    <t>10.0.3.255</t>
  </si>
  <si>
    <t>10.0.3.254</t>
  </si>
  <si>
    <t>10.0.4.1</t>
  </si>
  <si>
    <t>10.0.4.2</t>
  </si>
  <si>
    <t>10.0.4.3</t>
  </si>
  <si>
    <t>10.0.4.4</t>
  </si>
  <si>
    <t>CONCEPTO</t>
  </si>
  <si>
    <t>DEFINICION</t>
  </si>
  <si>
    <t>CLASSFULL</t>
  </si>
  <si>
    <t>CLASSLESS</t>
  </si>
  <si>
    <t>SUBNET</t>
  </si>
  <si>
    <t>SUPERNET</t>
  </si>
  <si>
    <t>SUMMARY</t>
  </si>
  <si>
    <t>Termino que identifica a una red cuya mascara se corresponde con la de la clase (10.0.0.0/8, 172.16.0.0/16, 192.168.0.0/24)</t>
  </si>
  <si>
    <t>Utilizado para identificar a cualquier red cuya mascara sea distinta a la de su clase, incluso se expresa en formato decimal con CIDR (classless inter domain routing)</t>
  </si>
  <si>
    <t>Identifica a aquellas redes cuya mascara utilizada es mayor a la de la clase (10.0.0.0/12, 172.16.0.0/22, 192.168.0.0/27)</t>
  </si>
  <si>
    <t>Corresponde a todas aquellas redes cuya mascara es menor a la de la clase (10.0.0.0/7, 172.16.0.0/12, 192.168.0.0/16)</t>
  </si>
  <si>
    <t>Operación que permite la unificacion de redes mediante la identificacion de los bits en comun, facilita el enrutamiento debido a la agrupacion de redes</t>
  </si>
  <si>
    <t>NETWORKS</t>
  </si>
  <si>
    <t>10.0.0.0/23</t>
  </si>
  <si>
    <t>10.0.2.0/25</t>
  </si>
  <si>
    <t>10.0.2.128/26</t>
  </si>
  <si>
    <t>10.0.2.192/27</t>
  </si>
  <si>
    <t>10000000</t>
  </si>
  <si>
    <t>11000000</t>
  </si>
  <si>
    <r>
      <rPr>
        <sz val="11"/>
        <color theme="6" tint="-0.249977111117893"/>
        <rFont val="Aptos Narrow"/>
        <family val="2"/>
        <scheme val="minor"/>
      </rPr>
      <t>000000</t>
    </r>
    <r>
      <rPr>
        <sz val="11"/>
        <color theme="1"/>
        <rFont val="Aptos Narrow"/>
        <family val="2"/>
        <scheme val="minor"/>
      </rPr>
      <t>00</t>
    </r>
  </si>
  <si>
    <r>
      <rPr>
        <sz val="11"/>
        <color theme="6" tint="-0.249977111117893"/>
        <rFont val="Aptos Narrow"/>
        <family val="2"/>
        <scheme val="minor"/>
      </rPr>
      <t>000000</t>
    </r>
    <r>
      <rPr>
        <sz val="11"/>
        <color theme="1"/>
        <rFont val="Aptos Narrow"/>
        <family val="2"/>
        <scheme val="minor"/>
      </rPr>
      <t>10</t>
    </r>
  </si>
  <si>
    <t>la red corresponde a un host</t>
  </si>
  <si>
    <t>red superpuesta con la inicial</t>
  </si>
  <si>
    <t>direcciones abarcan 2 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</si>
</sst>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16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theme="0"/>
      </left>
      <right style="thick">
        <color theme="0"/>
      </right>
      <top/>
      <bottom/>
      <diagonal/>
    </border>
    <border>
      <left style="thin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0" fillId="5" borderId="4" xfId="0" applyFill="1" applyBorder="1"/>
    <xf numFmtId="0" fontId="1" fillId="4" borderId="0" xfId="0" applyFont="1" applyFill="1"/>
    <xf numFmtId="0" fontId="1" fillId="4" borderId="5" xfId="0" applyFont="1" applyFill="1" applyBorder="1"/>
    <xf numFmtId="0" fontId="0" fillId="5" borderId="6" xfId="0" applyFill="1" applyBorder="1"/>
    <xf numFmtId="0" fontId="0" fillId="5" borderId="7" xfId="0" applyFill="1" applyBorder="1"/>
    <xf numFmtId="3" fontId="0" fillId="5" borderId="7" xfId="0" applyNumberFormat="1" applyFill="1" applyBorder="1" applyAlignment="1">
      <alignment horizontal="right"/>
    </xf>
    <xf numFmtId="0" fontId="0" fillId="6" borderId="8" xfId="0" applyFill="1" applyBorder="1"/>
    <xf numFmtId="3" fontId="0" fillId="6" borderId="4" xfId="0" applyNumberFormat="1" applyFill="1" applyBorder="1" applyAlignment="1">
      <alignment horizontal="right"/>
    </xf>
    <xf numFmtId="0" fontId="0" fillId="5" borderId="8" xfId="0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0" xfId="0" applyFill="1" applyBorder="1" applyAlignment="1">
      <alignment horizontal="right"/>
    </xf>
    <xf numFmtId="0" fontId="0" fillId="3" borderId="11" xfId="0" applyFill="1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right"/>
    </xf>
    <xf numFmtId="0" fontId="0" fillId="0" borderId="11" xfId="0" applyBorder="1"/>
    <xf numFmtId="3" fontId="0" fillId="3" borderId="10" xfId="0" applyNumberFormat="1" applyFill="1" applyBorder="1" applyAlignment="1">
      <alignment horizontal="right"/>
    </xf>
    <xf numFmtId="3" fontId="0" fillId="0" borderId="10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6" borderId="4" xfId="0" applyFont="1" applyFill="1" applyBorder="1"/>
    <xf numFmtId="0" fontId="3" fillId="6" borderId="4" xfId="0" applyFont="1" applyFill="1" applyBorder="1" applyAlignment="1">
      <alignment horizontal="right"/>
    </xf>
    <xf numFmtId="0" fontId="1" fillId="0" borderId="0" xfId="0" applyFont="1"/>
    <xf numFmtId="0" fontId="1" fillId="0" borderId="5" xfId="0" applyFont="1" applyBorder="1"/>
    <xf numFmtId="0" fontId="4" fillId="0" borderId="6" xfId="0" applyFont="1" applyBorder="1"/>
    <xf numFmtId="0" fontId="4" fillId="0" borderId="7" xfId="0" applyFont="1" applyBorder="1"/>
    <xf numFmtId="3" fontId="4" fillId="0" borderId="7" xfId="0" applyNumberFormat="1" applyFont="1" applyBorder="1" applyAlignment="1">
      <alignment horizontal="right"/>
    </xf>
    <xf numFmtId="0" fontId="4" fillId="0" borderId="8" xfId="0" applyFont="1" applyBorder="1"/>
    <xf numFmtId="0" fontId="4" fillId="0" borderId="4" xfId="0" applyFont="1" applyBorder="1"/>
    <xf numFmtId="3" fontId="4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6" fillId="0" borderId="0" xfId="0" applyNumberFormat="1" applyFont="1" applyAlignment="1">
      <alignment horizontal="center"/>
    </xf>
    <xf numFmtId="0" fontId="0" fillId="0" borderId="12" xfId="0" applyBorder="1"/>
    <xf numFmtId="49" fontId="6" fillId="0" borderId="12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3" fillId="6" borderId="8" xfId="0" applyFont="1" applyFill="1" applyBorder="1"/>
    <xf numFmtId="0" fontId="1" fillId="4" borderId="13" xfId="0" applyFont="1" applyFill="1" applyBorder="1"/>
    <xf numFmtId="0" fontId="0" fillId="5" borderId="14" xfId="0" applyFill="1" applyBorder="1"/>
    <xf numFmtId="0" fontId="0" fillId="6" borderId="15" xfId="0" applyFill="1" applyBorder="1"/>
    <xf numFmtId="0" fontId="3" fillId="6" borderId="15" xfId="0" applyFont="1" applyFill="1" applyBorder="1"/>
    <xf numFmtId="0" fontId="7" fillId="4" borderId="0" xfId="0" applyFont="1" applyFill="1" applyBorder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4" xfId="0" applyFont="1" applyFill="1" applyBorder="1"/>
    <xf numFmtId="3" fontId="3" fillId="5" borderId="4" xfId="0" applyNumberFormat="1" applyFont="1" applyFill="1" applyBorder="1" applyAlignment="1">
      <alignment horizontal="right"/>
    </xf>
    <xf numFmtId="0" fontId="3" fillId="5" borderId="15" xfId="0" applyFont="1" applyFill="1" applyBorder="1"/>
    <xf numFmtId="0" fontId="3" fillId="5" borderId="0" xfId="0" applyFont="1" applyFill="1" applyBorder="1"/>
    <xf numFmtId="0" fontId="3" fillId="5" borderId="5" xfId="0" applyFont="1" applyFill="1" applyBorder="1"/>
    <xf numFmtId="0" fontId="3" fillId="5" borderId="0" xfId="0" applyFont="1" applyFill="1"/>
    <xf numFmtId="0" fontId="3" fillId="5" borderId="4" xfId="0" applyFont="1" applyFill="1" applyBorder="1" applyAlignment="1">
      <alignment horizontal="right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/>
        <right style="thin">
          <color theme="0"/>
        </right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/>
        <right style="thin">
          <color theme="0"/>
        </right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D90F9A5-94DC-416C-A467-36AE7198F56B}" type="doc">
      <dgm:prSet loTypeId="urn:microsoft.com/office/officeart/2009/3/layout/HorizontalOrganizationChart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s-AR"/>
        </a:p>
      </dgm:t>
    </dgm:pt>
    <dgm:pt modelId="{FD65F2DB-29AA-4A7D-A72E-15044303EEDC}">
      <dgm:prSet phldrT="[Texto]"/>
      <dgm:spPr/>
      <dgm:t>
        <a:bodyPr/>
        <a:lstStyle/>
        <a:p>
          <a:r>
            <a:rPr lang="es-AR"/>
            <a:t>10.0.3.4/30</a:t>
          </a:r>
        </a:p>
      </dgm:t>
    </dgm:pt>
    <dgm:pt modelId="{3806A1A0-E362-473F-AA61-D460E0124E10}" type="parTrans" cxnId="{C90041B1-48B3-4382-ABDE-43A7826A5726}">
      <dgm:prSet/>
      <dgm:spPr/>
      <dgm:t>
        <a:bodyPr/>
        <a:lstStyle/>
        <a:p>
          <a:endParaRPr lang="es-AR"/>
        </a:p>
      </dgm:t>
    </dgm:pt>
    <dgm:pt modelId="{03F19C0F-9FCE-405C-914B-19682198BB7D}" type="sibTrans" cxnId="{C90041B1-48B3-4382-ABDE-43A7826A5726}">
      <dgm:prSet/>
      <dgm:spPr/>
      <dgm:t>
        <a:bodyPr/>
        <a:lstStyle/>
        <a:p>
          <a:endParaRPr lang="es-AR"/>
        </a:p>
      </dgm:t>
    </dgm:pt>
    <dgm:pt modelId="{B40E5544-226D-40C3-B9A2-24AD952EE9EC}">
      <dgm:prSet phldrT="[Texto]"/>
      <dgm:spPr/>
      <dgm:t>
        <a:bodyPr/>
        <a:lstStyle/>
        <a:p>
          <a:r>
            <a:rPr lang="es-AR"/>
            <a:t>10.0.2.128/26</a:t>
          </a:r>
        </a:p>
      </dgm:t>
    </dgm:pt>
    <dgm:pt modelId="{F207CDCF-160D-4FAC-BA43-FEA8B8A789EA}" type="parTrans" cxnId="{17A2A157-730B-48A5-A541-85DD77D3364D}">
      <dgm:prSet/>
      <dgm:spPr/>
      <dgm:t>
        <a:bodyPr/>
        <a:lstStyle/>
        <a:p>
          <a:endParaRPr lang="es-AR"/>
        </a:p>
      </dgm:t>
    </dgm:pt>
    <dgm:pt modelId="{BD6D06BC-B04D-4EE1-8BBE-AF68217806D6}" type="sibTrans" cxnId="{17A2A157-730B-48A5-A541-85DD77D3364D}">
      <dgm:prSet/>
      <dgm:spPr/>
      <dgm:t>
        <a:bodyPr/>
        <a:lstStyle/>
        <a:p>
          <a:endParaRPr lang="es-AR"/>
        </a:p>
      </dgm:t>
    </dgm:pt>
    <dgm:pt modelId="{0F3028F9-6E65-4A44-A063-4BA391874698}">
      <dgm:prSet phldrT="[Texto]"/>
      <dgm:spPr/>
      <dgm:t>
        <a:bodyPr/>
        <a:lstStyle/>
        <a:p>
          <a:r>
            <a:rPr lang="es-AR"/>
            <a:t>10.0.2.192/27</a:t>
          </a:r>
        </a:p>
      </dgm:t>
    </dgm:pt>
    <dgm:pt modelId="{1298A69B-6A86-4C6C-AB33-C595335E93C8}" type="parTrans" cxnId="{A48C8A2B-53AD-498B-B7A5-485E651D1C65}">
      <dgm:prSet/>
      <dgm:spPr/>
      <dgm:t>
        <a:bodyPr/>
        <a:lstStyle/>
        <a:p>
          <a:endParaRPr lang="es-AR"/>
        </a:p>
      </dgm:t>
    </dgm:pt>
    <dgm:pt modelId="{17D5EF76-7643-4398-AA64-9DC393529A4F}" type="sibTrans" cxnId="{A48C8A2B-53AD-498B-B7A5-485E651D1C65}">
      <dgm:prSet/>
      <dgm:spPr/>
      <dgm:t>
        <a:bodyPr/>
        <a:lstStyle/>
        <a:p>
          <a:endParaRPr lang="es-AR"/>
        </a:p>
      </dgm:t>
    </dgm:pt>
    <dgm:pt modelId="{1CB6E4C1-0B8A-4B0A-89E7-E8231AE85AFE}">
      <dgm:prSet phldrT="[Texto]"/>
      <dgm:spPr/>
      <dgm:t>
        <a:bodyPr/>
        <a:lstStyle/>
        <a:p>
          <a:r>
            <a:rPr lang="es-AR"/>
            <a:t>10.0.0.0/23</a:t>
          </a:r>
        </a:p>
      </dgm:t>
    </dgm:pt>
    <dgm:pt modelId="{9B005E21-1F19-47A2-8F76-6CDD4243F102}" type="parTrans" cxnId="{D51774C3-A8C6-4CC0-90DD-4AC6C544D381}">
      <dgm:prSet/>
      <dgm:spPr/>
      <dgm:t>
        <a:bodyPr/>
        <a:lstStyle/>
        <a:p>
          <a:endParaRPr lang="es-AR"/>
        </a:p>
      </dgm:t>
    </dgm:pt>
    <dgm:pt modelId="{8E00D7CC-7465-4B9D-B16D-03AFD786A89A}" type="sibTrans" cxnId="{D51774C3-A8C6-4CC0-90DD-4AC6C544D381}">
      <dgm:prSet/>
      <dgm:spPr/>
      <dgm:t>
        <a:bodyPr/>
        <a:lstStyle/>
        <a:p>
          <a:endParaRPr lang="es-AR"/>
        </a:p>
      </dgm:t>
    </dgm:pt>
    <dgm:pt modelId="{CED7CDDA-BEDC-4153-9F2B-A413C1110489}">
      <dgm:prSet phldrT="[Texto]"/>
      <dgm:spPr/>
      <dgm:t>
        <a:bodyPr/>
        <a:lstStyle/>
        <a:p>
          <a:r>
            <a:rPr lang="es-AR"/>
            <a:t>10.0.2.0/25</a:t>
          </a:r>
        </a:p>
      </dgm:t>
    </dgm:pt>
    <dgm:pt modelId="{136DFD43-BF76-45F5-96A8-E3E63FC7A0CF}" type="parTrans" cxnId="{86151C1A-6AC3-404B-BFDB-93895D1BD765}">
      <dgm:prSet/>
      <dgm:spPr/>
      <dgm:t>
        <a:bodyPr/>
        <a:lstStyle/>
        <a:p>
          <a:endParaRPr lang="es-AR"/>
        </a:p>
      </dgm:t>
    </dgm:pt>
    <dgm:pt modelId="{14FBCEC6-4115-4C1B-B207-07121B06CCAA}" type="sibTrans" cxnId="{86151C1A-6AC3-404B-BFDB-93895D1BD765}">
      <dgm:prSet/>
      <dgm:spPr/>
      <dgm:t>
        <a:bodyPr/>
        <a:lstStyle/>
        <a:p>
          <a:endParaRPr lang="es-AR"/>
        </a:p>
      </dgm:t>
    </dgm:pt>
    <dgm:pt modelId="{D8C9D995-A8FD-4E73-BA84-3662B613168A}">
      <dgm:prSet phldrT="[Texto]"/>
      <dgm:spPr/>
      <dgm:t>
        <a:bodyPr/>
        <a:lstStyle/>
        <a:p>
          <a:r>
            <a:rPr lang="es-AR"/>
            <a:t>R2</a:t>
          </a:r>
        </a:p>
      </dgm:t>
    </dgm:pt>
    <dgm:pt modelId="{CA8A8B67-4802-466F-9604-C7FC69743C9C}" type="parTrans" cxnId="{E783FC36-1F49-4481-967B-09C6AF7A7248}">
      <dgm:prSet/>
      <dgm:spPr/>
      <dgm:t>
        <a:bodyPr/>
        <a:lstStyle/>
        <a:p>
          <a:endParaRPr lang="es-AR"/>
        </a:p>
      </dgm:t>
    </dgm:pt>
    <dgm:pt modelId="{F6921379-88FE-4B16-95D3-B8B37FB4045D}" type="sibTrans" cxnId="{E783FC36-1F49-4481-967B-09C6AF7A7248}">
      <dgm:prSet/>
      <dgm:spPr/>
      <dgm:t>
        <a:bodyPr/>
        <a:lstStyle/>
        <a:p>
          <a:endParaRPr lang="es-AR"/>
        </a:p>
      </dgm:t>
    </dgm:pt>
    <dgm:pt modelId="{7AEAB3B8-4D43-4FBD-AE31-DA1F98F777EE}">
      <dgm:prSet phldrT="[Texto]"/>
      <dgm:spPr/>
      <dgm:t>
        <a:bodyPr/>
        <a:lstStyle/>
        <a:p>
          <a:r>
            <a:rPr lang="es-AR"/>
            <a:t>10.0.3.0/30</a:t>
          </a:r>
        </a:p>
      </dgm:t>
    </dgm:pt>
    <dgm:pt modelId="{89C613C0-C4CF-420A-A5E8-55E024C6D4C9}" type="parTrans" cxnId="{CBB07217-2C4A-490F-9A61-26B6EFFB2F2B}">
      <dgm:prSet/>
      <dgm:spPr/>
      <dgm:t>
        <a:bodyPr/>
        <a:lstStyle/>
        <a:p>
          <a:endParaRPr lang="es-AR"/>
        </a:p>
      </dgm:t>
    </dgm:pt>
    <dgm:pt modelId="{8FB95ABA-760D-4152-A838-3A590B69D826}" type="sibTrans" cxnId="{CBB07217-2C4A-490F-9A61-26B6EFFB2F2B}">
      <dgm:prSet/>
      <dgm:spPr/>
      <dgm:t>
        <a:bodyPr/>
        <a:lstStyle/>
        <a:p>
          <a:endParaRPr lang="es-AR"/>
        </a:p>
      </dgm:t>
    </dgm:pt>
    <dgm:pt modelId="{B24543E4-EAB0-40AA-9D5D-4C3144ED0D3E}">
      <dgm:prSet phldrT="[Texto]"/>
      <dgm:spPr/>
      <dgm:t>
        <a:bodyPr/>
        <a:lstStyle/>
        <a:p>
          <a:r>
            <a:rPr lang="es-AR"/>
            <a:t>R1</a:t>
          </a:r>
        </a:p>
      </dgm:t>
    </dgm:pt>
    <dgm:pt modelId="{DF0A7405-81AB-44FD-AB81-42B29C8E99A9}" type="parTrans" cxnId="{BCD17830-C731-4BA8-87B8-CD95560C01B3}">
      <dgm:prSet/>
      <dgm:spPr/>
      <dgm:t>
        <a:bodyPr/>
        <a:lstStyle/>
        <a:p>
          <a:endParaRPr lang="es-AR"/>
        </a:p>
      </dgm:t>
    </dgm:pt>
    <dgm:pt modelId="{E9FD45A6-64D2-43C8-B1EE-3C7B61E19D71}" type="sibTrans" cxnId="{BCD17830-C731-4BA8-87B8-CD95560C01B3}">
      <dgm:prSet/>
      <dgm:spPr/>
      <dgm:t>
        <a:bodyPr/>
        <a:lstStyle/>
        <a:p>
          <a:endParaRPr lang="es-AR"/>
        </a:p>
      </dgm:t>
    </dgm:pt>
    <dgm:pt modelId="{B1859AA6-7B18-4021-957A-883BF8354079}" type="pres">
      <dgm:prSet presAssocID="{BD90F9A5-94DC-416C-A467-36AE7198F56B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AF536B66-6915-4648-88BA-F830C9A78C27}" type="pres">
      <dgm:prSet presAssocID="{FD65F2DB-29AA-4A7D-A72E-15044303EEDC}" presName="hierRoot1" presStyleCnt="0">
        <dgm:presLayoutVars>
          <dgm:hierBranch val="init"/>
        </dgm:presLayoutVars>
      </dgm:prSet>
      <dgm:spPr/>
    </dgm:pt>
    <dgm:pt modelId="{4F475011-E2D3-449C-B6BC-24D78688C52F}" type="pres">
      <dgm:prSet presAssocID="{FD65F2DB-29AA-4A7D-A72E-15044303EEDC}" presName="rootComposite1" presStyleCnt="0"/>
      <dgm:spPr/>
    </dgm:pt>
    <dgm:pt modelId="{F1E5D692-2E96-4465-85BE-17D8BD8327DD}" type="pres">
      <dgm:prSet presAssocID="{FD65F2DB-29AA-4A7D-A72E-15044303EEDC}" presName="rootText1" presStyleLbl="node0" presStyleIdx="0" presStyleCnt="1">
        <dgm:presLayoutVars>
          <dgm:chPref val="3"/>
        </dgm:presLayoutVars>
      </dgm:prSet>
      <dgm:spPr/>
    </dgm:pt>
    <dgm:pt modelId="{5689AC30-4EF8-4E11-A4F3-24C23631A7EA}" type="pres">
      <dgm:prSet presAssocID="{FD65F2DB-29AA-4A7D-A72E-15044303EEDC}" presName="rootConnector1" presStyleLbl="node1" presStyleIdx="0" presStyleCnt="0"/>
      <dgm:spPr/>
    </dgm:pt>
    <dgm:pt modelId="{FF15FF33-2A40-459A-A385-97ED60EE26BF}" type="pres">
      <dgm:prSet presAssocID="{FD65F2DB-29AA-4A7D-A72E-15044303EEDC}" presName="hierChild2" presStyleCnt="0"/>
      <dgm:spPr/>
    </dgm:pt>
    <dgm:pt modelId="{94E8A244-5149-4C77-A4F7-037E32E62EF9}" type="pres">
      <dgm:prSet presAssocID="{DF0A7405-81AB-44FD-AB81-42B29C8E99A9}" presName="Name64" presStyleLbl="parChTrans1D2" presStyleIdx="0" presStyleCnt="1"/>
      <dgm:spPr/>
    </dgm:pt>
    <dgm:pt modelId="{7DA58A9E-946B-47F3-9E30-89C2612A286B}" type="pres">
      <dgm:prSet presAssocID="{B24543E4-EAB0-40AA-9D5D-4C3144ED0D3E}" presName="hierRoot2" presStyleCnt="0">
        <dgm:presLayoutVars>
          <dgm:hierBranch val="init"/>
        </dgm:presLayoutVars>
      </dgm:prSet>
      <dgm:spPr/>
    </dgm:pt>
    <dgm:pt modelId="{8FD268E3-2989-41B1-A353-40DC0F8FE10F}" type="pres">
      <dgm:prSet presAssocID="{B24543E4-EAB0-40AA-9D5D-4C3144ED0D3E}" presName="rootComposite" presStyleCnt="0"/>
      <dgm:spPr/>
    </dgm:pt>
    <dgm:pt modelId="{590EA2F8-05AE-47EF-A54C-6982E740FD16}" type="pres">
      <dgm:prSet presAssocID="{B24543E4-EAB0-40AA-9D5D-4C3144ED0D3E}" presName="rootText" presStyleLbl="node2" presStyleIdx="0" presStyleCnt="1" custScaleX="32824">
        <dgm:presLayoutVars>
          <dgm:chPref val="3"/>
        </dgm:presLayoutVars>
      </dgm:prSet>
      <dgm:spPr>
        <a:prstGeom prst="ellipse">
          <a:avLst/>
        </a:prstGeom>
      </dgm:spPr>
    </dgm:pt>
    <dgm:pt modelId="{143F502D-E59B-4F29-B3C4-655D61A57464}" type="pres">
      <dgm:prSet presAssocID="{B24543E4-EAB0-40AA-9D5D-4C3144ED0D3E}" presName="rootConnector" presStyleLbl="node2" presStyleIdx="0" presStyleCnt="1"/>
      <dgm:spPr/>
    </dgm:pt>
    <dgm:pt modelId="{EE29BFAD-D075-47AF-890D-2F98EE57A385}" type="pres">
      <dgm:prSet presAssocID="{B24543E4-EAB0-40AA-9D5D-4C3144ED0D3E}" presName="hierChild4" presStyleCnt="0"/>
      <dgm:spPr/>
    </dgm:pt>
    <dgm:pt modelId="{51EFF019-F026-4550-9711-E39227366898}" type="pres">
      <dgm:prSet presAssocID="{89C613C0-C4CF-420A-A5E8-55E024C6D4C9}" presName="Name64" presStyleLbl="parChTrans1D3" presStyleIdx="0" presStyleCnt="1"/>
      <dgm:spPr/>
    </dgm:pt>
    <dgm:pt modelId="{0A39734C-FDD6-4B56-ACF0-61855D0F9A40}" type="pres">
      <dgm:prSet presAssocID="{7AEAB3B8-4D43-4FBD-AE31-DA1F98F777EE}" presName="hierRoot2" presStyleCnt="0">
        <dgm:presLayoutVars>
          <dgm:hierBranch val="init"/>
        </dgm:presLayoutVars>
      </dgm:prSet>
      <dgm:spPr/>
    </dgm:pt>
    <dgm:pt modelId="{E89CE448-EFBF-46BC-AEE4-DE37C4D06470}" type="pres">
      <dgm:prSet presAssocID="{7AEAB3B8-4D43-4FBD-AE31-DA1F98F777EE}" presName="rootComposite" presStyleCnt="0"/>
      <dgm:spPr/>
    </dgm:pt>
    <dgm:pt modelId="{691595BB-D24C-488E-AC6E-859A60E625FF}" type="pres">
      <dgm:prSet presAssocID="{7AEAB3B8-4D43-4FBD-AE31-DA1F98F777EE}" presName="rootText" presStyleLbl="node3" presStyleIdx="0" presStyleCnt="1">
        <dgm:presLayoutVars>
          <dgm:chPref val="3"/>
        </dgm:presLayoutVars>
      </dgm:prSet>
      <dgm:spPr/>
    </dgm:pt>
    <dgm:pt modelId="{AE082FD0-6866-4B27-99C0-3369033F6F09}" type="pres">
      <dgm:prSet presAssocID="{7AEAB3B8-4D43-4FBD-AE31-DA1F98F777EE}" presName="rootConnector" presStyleLbl="node3" presStyleIdx="0" presStyleCnt="1"/>
      <dgm:spPr/>
    </dgm:pt>
    <dgm:pt modelId="{3B08E8EF-A7E8-4402-A5F5-4C8CA235DF67}" type="pres">
      <dgm:prSet presAssocID="{7AEAB3B8-4D43-4FBD-AE31-DA1F98F777EE}" presName="hierChild4" presStyleCnt="0"/>
      <dgm:spPr/>
    </dgm:pt>
    <dgm:pt modelId="{8275CC2E-D9CD-44F1-B7EF-E04E2A069673}" type="pres">
      <dgm:prSet presAssocID="{CA8A8B67-4802-466F-9604-C7FC69743C9C}" presName="Name64" presStyleLbl="parChTrans1D4" presStyleIdx="0" presStyleCnt="5"/>
      <dgm:spPr/>
    </dgm:pt>
    <dgm:pt modelId="{D70424A0-3E0F-44CB-9061-FB87FA353327}" type="pres">
      <dgm:prSet presAssocID="{D8C9D995-A8FD-4E73-BA84-3662B613168A}" presName="hierRoot2" presStyleCnt="0">
        <dgm:presLayoutVars>
          <dgm:hierBranch val="init"/>
        </dgm:presLayoutVars>
      </dgm:prSet>
      <dgm:spPr/>
    </dgm:pt>
    <dgm:pt modelId="{B35E82D6-8D93-4E43-99E9-0A61E99D44D7}" type="pres">
      <dgm:prSet presAssocID="{D8C9D995-A8FD-4E73-BA84-3662B613168A}" presName="rootComposite" presStyleCnt="0"/>
      <dgm:spPr/>
    </dgm:pt>
    <dgm:pt modelId="{FF354622-B151-451D-91B4-921FB4279F2A}" type="pres">
      <dgm:prSet presAssocID="{D8C9D995-A8FD-4E73-BA84-3662B613168A}" presName="rootText" presStyleLbl="node4" presStyleIdx="0" presStyleCnt="5" custScaleX="33249">
        <dgm:presLayoutVars>
          <dgm:chPref val="3"/>
        </dgm:presLayoutVars>
      </dgm:prSet>
      <dgm:spPr>
        <a:prstGeom prst="flowChartConnector">
          <a:avLst/>
        </a:prstGeom>
      </dgm:spPr>
    </dgm:pt>
    <dgm:pt modelId="{FA9FDB88-99C9-4D9B-9809-4ADDF88CF42F}" type="pres">
      <dgm:prSet presAssocID="{D8C9D995-A8FD-4E73-BA84-3662B613168A}" presName="rootConnector" presStyleLbl="node4" presStyleIdx="0" presStyleCnt="5"/>
      <dgm:spPr/>
    </dgm:pt>
    <dgm:pt modelId="{EA6DE03C-BDC4-4000-8150-3791D502D10C}" type="pres">
      <dgm:prSet presAssocID="{D8C9D995-A8FD-4E73-BA84-3662B613168A}" presName="hierChild4" presStyleCnt="0"/>
      <dgm:spPr/>
    </dgm:pt>
    <dgm:pt modelId="{F35ECA1C-CDDB-4E46-8B61-87DCCDAF7CD7}" type="pres">
      <dgm:prSet presAssocID="{9B005E21-1F19-47A2-8F76-6CDD4243F102}" presName="Name64" presStyleLbl="parChTrans1D4" presStyleIdx="1" presStyleCnt="5"/>
      <dgm:spPr/>
    </dgm:pt>
    <dgm:pt modelId="{31EEB19E-0C29-4605-8418-9F011440939D}" type="pres">
      <dgm:prSet presAssocID="{1CB6E4C1-0B8A-4B0A-89E7-E8231AE85AFE}" presName="hierRoot2" presStyleCnt="0">
        <dgm:presLayoutVars>
          <dgm:hierBranch val="init"/>
        </dgm:presLayoutVars>
      </dgm:prSet>
      <dgm:spPr/>
    </dgm:pt>
    <dgm:pt modelId="{E3717AB1-6D27-4C8E-B954-8C32E0767964}" type="pres">
      <dgm:prSet presAssocID="{1CB6E4C1-0B8A-4B0A-89E7-E8231AE85AFE}" presName="rootComposite" presStyleCnt="0"/>
      <dgm:spPr/>
    </dgm:pt>
    <dgm:pt modelId="{4D101F44-FC9A-4EAC-85D8-F283141C8D18}" type="pres">
      <dgm:prSet presAssocID="{1CB6E4C1-0B8A-4B0A-89E7-E8231AE85AFE}" presName="rootText" presStyleLbl="node4" presStyleIdx="1" presStyleCnt="5">
        <dgm:presLayoutVars>
          <dgm:chPref val="3"/>
        </dgm:presLayoutVars>
      </dgm:prSet>
      <dgm:spPr/>
    </dgm:pt>
    <dgm:pt modelId="{5881B133-24CA-478F-A849-6D8608056AD5}" type="pres">
      <dgm:prSet presAssocID="{1CB6E4C1-0B8A-4B0A-89E7-E8231AE85AFE}" presName="rootConnector" presStyleLbl="node4" presStyleIdx="1" presStyleCnt="5"/>
      <dgm:spPr/>
    </dgm:pt>
    <dgm:pt modelId="{98C526DB-D71E-445B-AC51-7A8408DFDC2D}" type="pres">
      <dgm:prSet presAssocID="{1CB6E4C1-0B8A-4B0A-89E7-E8231AE85AFE}" presName="hierChild4" presStyleCnt="0"/>
      <dgm:spPr/>
    </dgm:pt>
    <dgm:pt modelId="{20AAF49A-3296-43D3-873F-3D8C0B3249C1}" type="pres">
      <dgm:prSet presAssocID="{1CB6E4C1-0B8A-4B0A-89E7-E8231AE85AFE}" presName="hierChild5" presStyleCnt="0"/>
      <dgm:spPr/>
    </dgm:pt>
    <dgm:pt modelId="{FA7C85DE-2035-4D2A-98D4-855FD04F001F}" type="pres">
      <dgm:prSet presAssocID="{136DFD43-BF76-45F5-96A8-E3E63FC7A0CF}" presName="Name64" presStyleLbl="parChTrans1D4" presStyleIdx="2" presStyleCnt="5"/>
      <dgm:spPr/>
    </dgm:pt>
    <dgm:pt modelId="{288AE3E0-0FBD-47EA-B8A7-3563931E013E}" type="pres">
      <dgm:prSet presAssocID="{CED7CDDA-BEDC-4153-9F2B-A413C1110489}" presName="hierRoot2" presStyleCnt="0">
        <dgm:presLayoutVars>
          <dgm:hierBranch val="init"/>
        </dgm:presLayoutVars>
      </dgm:prSet>
      <dgm:spPr/>
    </dgm:pt>
    <dgm:pt modelId="{ADED5F26-DEB4-4320-AB49-9A7640D80C95}" type="pres">
      <dgm:prSet presAssocID="{CED7CDDA-BEDC-4153-9F2B-A413C1110489}" presName="rootComposite" presStyleCnt="0"/>
      <dgm:spPr/>
    </dgm:pt>
    <dgm:pt modelId="{B6435770-CEF7-4268-95B1-2FD7233C4324}" type="pres">
      <dgm:prSet presAssocID="{CED7CDDA-BEDC-4153-9F2B-A413C1110489}" presName="rootText" presStyleLbl="node4" presStyleIdx="2" presStyleCnt="5">
        <dgm:presLayoutVars>
          <dgm:chPref val="3"/>
        </dgm:presLayoutVars>
      </dgm:prSet>
      <dgm:spPr/>
    </dgm:pt>
    <dgm:pt modelId="{82204BBB-A874-46B6-9288-BC1633E1087C}" type="pres">
      <dgm:prSet presAssocID="{CED7CDDA-BEDC-4153-9F2B-A413C1110489}" presName="rootConnector" presStyleLbl="node4" presStyleIdx="2" presStyleCnt="5"/>
      <dgm:spPr/>
    </dgm:pt>
    <dgm:pt modelId="{6D372409-35A6-4A24-BAAF-B84F646F08CA}" type="pres">
      <dgm:prSet presAssocID="{CED7CDDA-BEDC-4153-9F2B-A413C1110489}" presName="hierChild4" presStyleCnt="0"/>
      <dgm:spPr/>
    </dgm:pt>
    <dgm:pt modelId="{A164E71F-79A7-4D88-81FF-63B96F7FFFBB}" type="pres">
      <dgm:prSet presAssocID="{CED7CDDA-BEDC-4153-9F2B-A413C1110489}" presName="hierChild5" presStyleCnt="0"/>
      <dgm:spPr/>
    </dgm:pt>
    <dgm:pt modelId="{A44DE085-7EE7-4469-B638-6882E2164022}" type="pres">
      <dgm:prSet presAssocID="{F207CDCF-160D-4FAC-BA43-FEA8B8A789EA}" presName="Name64" presStyleLbl="parChTrans1D4" presStyleIdx="3" presStyleCnt="5"/>
      <dgm:spPr/>
    </dgm:pt>
    <dgm:pt modelId="{1479EE72-B3B5-4AF9-A724-B63779F3A042}" type="pres">
      <dgm:prSet presAssocID="{B40E5544-226D-40C3-B9A2-24AD952EE9EC}" presName="hierRoot2" presStyleCnt="0">
        <dgm:presLayoutVars>
          <dgm:hierBranch val="init"/>
        </dgm:presLayoutVars>
      </dgm:prSet>
      <dgm:spPr/>
    </dgm:pt>
    <dgm:pt modelId="{7E577C9F-EB96-4396-9936-86C505F98E49}" type="pres">
      <dgm:prSet presAssocID="{B40E5544-226D-40C3-B9A2-24AD952EE9EC}" presName="rootComposite" presStyleCnt="0"/>
      <dgm:spPr/>
    </dgm:pt>
    <dgm:pt modelId="{300B715E-70A8-48BC-B464-AC9823BCADB7}" type="pres">
      <dgm:prSet presAssocID="{B40E5544-226D-40C3-B9A2-24AD952EE9EC}" presName="rootText" presStyleLbl="node4" presStyleIdx="3" presStyleCnt="5">
        <dgm:presLayoutVars>
          <dgm:chPref val="3"/>
        </dgm:presLayoutVars>
      </dgm:prSet>
      <dgm:spPr/>
    </dgm:pt>
    <dgm:pt modelId="{2BE1FCB4-F641-4A7B-810B-85269C57EF3D}" type="pres">
      <dgm:prSet presAssocID="{B40E5544-226D-40C3-B9A2-24AD952EE9EC}" presName="rootConnector" presStyleLbl="node4" presStyleIdx="3" presStyleCnt="5"/>
      <dgm:spPr/>
    </dgm:pt>
    <dgm:pt modelId="{E0174681-A480-4EFA-9157-B170E40846C7}" type="pres">
      <dgm:prSet presAssocID="{B40E5544-226D-40C3-B9A2-24AD952EE9EC}" presName="hierChild4" presStyleCnt="0"/>
      <dgm:spPr/>
    </dgm:pt>
    <dgm:pt modelId="{394643FC-3D43-4AC9-99B2-7476753BF431}" type="pres">
      <dgm:prSet presAssocID="{B40E5544-226D-40C3-B9A2-24AD952EE9EC}" presName="hierChild5" presStyleCnt="0"/>
      <dgm:spPr/>
    </dgm:pt>
    <dgm:pt modelId="{8A81E5AA-096B-4EA2-9EA7-AF5C19C30B74}" type="pres">
      <dgm:prSet presAssocID="{1298A69B-6A86-4C6C-AB33-C595335E93C8}" presName="Name64" presStyleLbl="parChTrans1D4" presStyleIdx="4" presStyleCnt="5"/>
      <dgm:spPr/>
    </dgm:pt>
    <dgm:pt modelId="{5DBFAB58-D377-4FDF-B128-367B76C064DB}" type="pres">
      <dgm:prSet presAssocID="{0F3028F9-6E65-4A44-A063-4BA391874698}" presName="hierRoot2" presStyleCnt="0">
        <dgm:presLayoutVars>
          <dgm:hierBranch val="init"/>
        </dgm:presLayoutVars>
      </dgm:prSet>
      <dgm:spPr/>
    </dgm:pt>
    <dgm:pt modelId="{5E0AD181-4077-45E4-841E-DAE2119DA31C}" type="pres">
      <dgm:prSet presAssocID="{0F3028F9-6E65-4A44-A063-4BA391874698}" presName="rootComposite" presStyleCnt="0"/>
      <dgm:spPr/>
    </dgm:pt>
    <dgm:pt modelId="{21BF4BD2-A8B7-4826-89C9-145C7736D493}" type="pres">
      <dgm:prSet presAssocID="{0F3028F9-6E65-4A44-A063-4BA391874698}" presName="rootText" presStyleLbl="node4" presStyleIdx="4" presStyleCnt="5">
        <dgm:presLayoutVars>
          <dgm:chPref val="3"/>
        </dgm:presLayoutVars>
      </dgm:prSet>
      <dgm:spPr/>
    </dgm:pt>
    <dgm:pt modelId="{EAA6F704-5E81-4CEB-80CD-B8669C4D6192}" type="pres">
      <dgm:prSet presAssocID="{0F3028F9-6E65-4A44-A063-4BA391874698}" presName="rootConnector" presStyleLbl="node4" presStyleIdx="4" presStyleCnt="5"/>
      <dgm:spPr/>
    </dgm:pt>
    <dgm:pt modelId="{3EC51F14-0C6C-4EB6-BB2A-EA65FCDB66A2}" type="pres">
      <dgm:prSet presAssocID="{0F3028F9-6E65-4A44-A063-4BA391874698}" presName="hierChild4" presStyleCnt="0"/>
      <dgm:spPr/>
    </dgm:pt>
    <dgm:pt modelId="{023738CF-C4FF-45B6-8B7F-F5465161D490}" type="pres">
      <dgm:prSet presAssocID="{0F3028F9-6E65-4A44-A063-4BA391874698}" presName="hierChild5" presStyleCnt="0"/>
      <dgm:spPr/>
    </dgm:pt>
    <dgm:pt modelId="{DF594A96-41E4-43E8-B4A0-D757782D2E0D}" type="pres">
      <dgm:prSet presAssocID="{D8C9D995-A8FD-4E73-BA84-3662B613168A}" presName="hierChild5" presStyleCnt="0"/>
      <dgm:spPr/>
    </dgm:pt>
    <dgm:pt modelId="{903E5D42-1341-42D8-A5FE-1E509716B65F}" type="pres">
      <dgm:prSet presAssocID="{7AEAB3B8-4D43-4FBD-AE31-DA1F98F777EE}" presName="hierChild5" presStyleCnt="0"/>
      <dgm:spPr/>
    </dgm:pt>
    <dgm:pt modelId="{687353C6-838F-417B-8649-097B518974D5}" type="pres">
      <dgm:prSet presAssocID="{B24543E4-EAB0-40AA-9D5D-4C3144ED0D3E}" presName="hierChild5" presStyleCnt="0"/>
      <dgm:spPr/>
    </dgm:pt>
    <dgm:pt modelId="{48E94AC4-6B96-4F6D-883D-E61B70B05225}" type="pres">
      <dgm:prSet presAssocID="{FD65F2DB-29AA-4A7D-A72E-15044303EEDC}" presName="hierChild3" presStyleCnt="0"/>
      <dgm:spPr/>
    </dgm:pt>
  </dgm:ptLst>
  <dgm:cxnLst>
    <dgm:cxn modelId="{45FE4601-B03F-4FCA-AA2E-33D1B3B24A00}" type="presOf" srcId="{9B005E21-1F19-47A2-8F76-6CDD4243F102}" destId="{F35ECA1C-CDDB-4E46-8B61-87DCCDAF7CD7}" srcOrd="0" destOrd="0" presId="urn:microsoft.com/office/officeart/2009/3/layout/HorizontalOrganizationChart"/>
    <dgm:cxn modelId="{8232E20B-86CA-4F04-9D02-FDEEBC0A9392}" type="presOf" srcId="{B40E5544-226D-40C3-B9A2-24AD952EE9EC}" destId="{2BE1FCB4-F641-4A7B-810B-85269C57EF3D}" srcOrd="1" destOrd="0" presId="urn:microsoft.com/office/officeart/2009/3/layout/HorizontalOrganizationChart"/>
    <dgm:cxn modelId="{891DF716-49C5-466B-A282-5F585E926CF8}" type="presOf" srcId="{D8C9D995-A8FD-4E73-BA84-3662B613168A}" destId="{FA9FDB88-99C9-4D9B-9809-4ADDF88CF42F}" srcOrd="1" destOrd="0" presId="urn:microsoft.com/office/officeart/2009/3/layout/HorizontalOrganizationChart"/>
    <dgm:cxn modelId="{CBB07217-2C4A-490F-9A61-26B6EFFB2F2B}" srcId="{B24543E4-EAB0-40AA-9D5D-4C3144ED0D3E}" destId="{7AEAB3B8-4D43-4FBD-AE31-DA1F98F777EE}" srcOrd="0" destOrd="0" parTransId="{89C613C0-C4CF-420A-A5E8-55E024C6D4C9}" sibTransId="{8FB95ABA-760D-4152-A838-3A590B69D826}"/>
    <dgm:cxn modelId="{86151C1A-6AC3-404B-BFDB-93895D1BD765}" srcId="{D8C9D995-A8FD-4E73-BA84-3662B613168A}" destId="{CED7CDDA-BEDC-4153-9F2B-A413C1110489}" srcOrd="1" destOrd="0" parTransId="{136DFD43-BF76-45F5-96A8-E3E63FC7A0CF}" sibTransId="{14FBCEC6-4115-4C1B-B207-07121B06CCAA}"/>
    <dgm:cxn modelId="{20E0101B-1EFB-47A2-A1E6-8494A1B61E82}" type="presOf" srcId="{CA8A8B67-4802-466F-9604-C7FC69743C9C}" destId="{8275CC2E-D9CD-44F1-B7EF-E04E2A069673}" srcOrd="0" destOrd="0" presId="urn:microsoft.com/office/officeart/2009/3/layout/HorizontalOrganizationChart"/>
    <dgm:cxn modelId="{5C59201E-5703-4F27-8555-8A20DB9DD054}" type="presOf" srcId="{89C613C0-C4CF-420A-A5E8-55E024C6D4C9}" destId="{51EFF019-F026-4550-9711-E39227366898}" srcOrd="0" destOrd="0" presId="urn:microsoft.com/office/officeart/2009/3/layout/HorizontalOrganizationChart"/>
    <dgm:cxn modelId="{2AFEEC24-143F-4FC0-8ACD-FE6BEB62C7CE}" type="presOf" srcId="{B24543E4-EAB0-40AA-9D5D-4C3144ED0D3E}" destId="{143F502D-E59B-4F29-B3C4-655D61A57464}" srcOrd="1" destOrd="0" presId="urn:microsoft.com/office/officeart/2009/3/layout/HorizontalOrganizationChart"/>
    <dgm:cxn modelId="{A48C8A2B-53AD-498B-B7A5-485E651D1C65}" srcId="{D8C9D995-A8FD-4E73-BA84-3662B613168A}" destId="{0F3028F9-6E65-4A44-A063-4BA391874698}" srcOrd="3" destOrd="0" parTransId="{1298A69B-6A86-4C6C-AB33-C595335E93C8}" sibTransId="{17D5EF76-7643-4398-AA64-9DC393529A4F}"/>
    <dgm:cxn modelId="{BCD17830-C731-4BA8-87B8-CD95560C01B3}" srcId="{FD65F2DB-29AA-4A7D-A72E-15044303EEDC}" destId="{B24543E4-EAB0-40AA-9D5D-4C3144ED0D3E}" srcOrd="0" destOrd="0" parTransId="{DF0A7405-81AB-44FD-AB81-42B29C8E99A9}" sibTransId="{E9FD45A6-64D2-43C8-B1EE-3C7B61E19D71}"/>
    <dgm:cxn modelId="{A1148630-4969-46F8-B257-9BB38329A728}" type="presOf" srcId="{1CB6E4C1-0B8A-4B0A-89E7-E8231AE85AFE}" destId="{4D101F44-FC9A-4EAC-85D8-F283141C8D18}" srcOrd="0" destOrd="0" presId="urn:microsoft.com/office/officeart/2009/3/layout/HorizontalOrganizationChart"/>
    <dgm:cxn modelId="{478C0235-CDE1-4080-856F-19E53F2AC637}" type="presOf" srcId="{1298A69B-6A86-4C6C-AB33-C595335E93C8}" destId="{8A81E5AA-096B-4EA2-9EA7-AF5C19C30B74}" srcOrd="0" destOrd="0" presId="urn:microsoft.com/office/officeart/2009/3/layout/HorizontalOrganizationChart"/>
    <dgm:cxn modelId="{D5B1DF35-AB74-494B-9E28-396CE23AD3DD}" type="presOf" srcId="{B24543E4-EAB0-40AA-9D5D-4C3144ED0D3E}" destId="{590EA2F8-05AE-47EF-A54C-6982E740FD16}" srcOrd="0" destOrd="0" presId="urn:microsoft.com/office/officeart/2009/3/layout/HorizontalOrganizationChart"/>
    <dgm:cxn modelId="{E783FC36-1F49-4481-967B-09C6AF7A7248}" srcId="{7AEAB3B8-4D43-4FBD-AE31-DA1F98F777EE}" destId="{D8C9D995-A8FD-4E73-BA84-3662B613168A}" srcOrd="0" destOrd="0" parTransId="{CA8A8B67-4802-466F-9604-C7FC69743C9C}" sibTransId="{F6921379-88FE-4B16-95D3-B8B37FB4045D}"/>
    <dgm:cxn modelId="{5E8CE761-4F7E-48DE-AB4F-8F369CDB3422}" type="presOf" srcId="{CED7CDDA-BEDC-4153-9F2B-A413C1110489}" destId="{B6435770-CEF7-4268-95B1-2FD7233C4324}" srcOrd="0" destOrd="0" presId="urn:microsoft.com/office/officeart/2009/3/layout/HorizontalOrganizationChart"/>
    <dgm:cxn modelId="{EECB9467-FB9E-4380-9F53-44DE0D24F2AF}" type="presOf" srcId="{7AEAB3B8-4D43-4FBD-AE31-DA1F98F777EE}" destId="{691595BB-D24C-488E-AC6E-859A60E625FF}" srcOrd="0" destOrd="0" presId="urn:microsoft.com/office/officeart/2009/3/layout/HorizontalOrganizationChart"/>
    <dgm:cxn modelId="{A8F1126B-027E-4052-8523-3603F8F2455F}" type="presOf" srcId="{0F3028F9-6E65-4A44-A063-4BA391874698}" destId="{21BF4BD2-A8B7-4826-89C9-145C7736D493}" srcOrd="0" destOrd="0" presId="urn:microsoft.com/office/officeart/2009/3/layout/HorizontalOrganizationChart"/>
    <dgm:cxn modelId="{005C246F-52D1-4B9F-BBD4-90378EFD2AC5}" type="presOf" srcId="{DF0A7405-81AB-44FD-AB81-42B29C8E99A9}" destId="{94E8A244-5149-4C77-A4F7-037E32E62EF9}" srcOrd="0" destOrd="0" presId="urn:microsoft.com/office/officeart/2009/3/layout/HorizontalOrganizationChart"/>
    <dgm:cxn modelId="{CA260853-3F81-4BE5-857C-F3CCB9604111}" type="presOf" srcId="{0F3028F9-6E65-4A44-A063-4BA391874698}" destId="{EAA6F704-5E81-4CEB-80CD-B8669C4D6192}" srcOrd="1" destOrd="0" presId="urn:microsoft.com/office/officeart/2009/3/layout/HorizontalOrganizationChart"/>
    <dgm:cxn modelId="{17A2A157-730B-48A5-A541-85DD77D3364D}" srcId="{D8C9D995-A8FD-4E73-BA84-3662B613168A}" destId="{B40E5544-226D-40C3-B9A2-24AD952EE9EC}" srcOrd="2" destOrd="0" parTransId="{F207CDCF-160D-4FAC-BA43-FEA8B8A789EA}" sibTransId="{BD6D06BC-B04D-4EE1-8BBE-AF68217806D6}"/>
    <dgm:cxn modelId="{89FDC589-DE99-461A-AAE3-993AF31529BA}" type="presOf" srcId="{136DFD43-BF76-45F5-96A8-E3E63FC7A0CF}" destId="{FA7C85DE-2035-4D2A-98D4-855FD04F001F}" srcOrd="0" destOrd="0" presId="urn:microsoft.com/office/officeart/2009/3/layout/HorizontalOrganizationChart"/>
    <dgm:cxn modelId="{57412CA3-CD29-4395-95ED-E3FE1BE67199}" type="presOf" srcId="{CED7CDDA-BEDC-4153-9F2B-A413C1110489}" destId="{82204BBB-A874-46B6-9288-BC1633E1087C}" srcOrd="1" destOrd="0" presId="urn:microsoft.com/office/officeart/2009/3/layout/HorizontalOrganizationChart"/>
    <dgm:cxn modelId="{C90041B1-48B3-4382-ABDE-43A7826A5726}" srcId="{BD90F9A5-94DC-416C-A467-36AE7198F56B}" destId="{FD65F2DB-29AA-4A7D-A72E-15044303EEDC}" srcOrd="0" destOrd="0" parTransId="{3806A1A0-E362-473F-AA61-D460E0124E10}" sibTransId="{03F19C0F-9FCE-405C-914B-19682198BB7D}"/>
    <dgm:cxn modelId="{1C05A6C1-0546-4009-8052-280FFF98A36A}" type="presOf" srcId="{F207CDCF-160D-4FAC-BA43-FEA8B8A789EA}" destId="{A44DE085-7EE7-4469-B638-6882E2164022}" srcOrd="0" destOrd="0" presId="urn:microsoft.com/office/officeart/2009/3/layout/HorizontalOrganizationChart"/>
    <dgm:cxn modelId="{8B0FB7C2-D1BD-4B06-ABD7-E4A900A148D8}" type="presOf" srcId="{FD65F2DB-29AA-4A7D-A72E-15044303EEDC}" destId="{5689AC30-4EF8-4E11-A4F3-24C23631A7EA}" srcOrd="1" destOrd="0" presId="urn:microsoft.com/office/officeart/2009/3/layout/HorizontalOrganizationChart"/>
    <dgm:cxn modelId="{D51774C3-A8C6-4CC0-90DD-4AC6C544D381}" srcId="{D8C9D995-A8FD-4E73-BA84-3662B613168A}" destId="{1CB6E4C1-0B8A-4B0A-89E7-E8231AE85AFE}" srcOrd="0" destOrd="0" parTransId="{9B005E21-1F19-47A2-8F76-6CDD4243F102}" sibTransId="{8E00D7CC-7465-4B9D-B16D-03AFD786A89A}"/>
    <dgm:cxn modelId="{BE7231C8-EDD7-46E6-89C5-D3F5F93DB5FD}" type="presOf" srcId="{D8C9D995-A8FD-4E73-BA84-3662B613168A}" destId="{FF354622-B151-451D-91B4-921FB4279F2A}" srcOrd="0" destOrd="0" presId="urn:microsoft.com/office/officeart/2009/3/layout/HorizontalOrganizationChart"/>
    <dgm:cxn modelId="{30413CD0-0943-498E-8406-69B3ED4617AC}" type="presOf" srcId="{BD90F9A5-94DC-416C-A467-36AE7198F56B}" destId="{B1859AA6-7B18-4021-957A-883BF8354079}" srcOrd="0" destOrd="0" presId="urn:microsoft.com/office/officeart/2009/3/layout/HorizontalOrganizationChart"/>
    <dgm:cxn modelId="{9DB241D3-7499-4CEA-B0A4-4BF48ABD0419}" type="presOf" srcId="{7AEAB3B8-4D43-4FBD-AE31-DA1F98F777EE}" destId="{AE082FD0-6866-4B27-99C0-3369033F6F09}" srcOrd="1" destOrd="0" presId="urn:microsoft.com/office/officeart/2009/3/layout/HorizontalOrganizationChart"/>
    <dgm:cxn modelId="{399F54D8-E667-470C-9225-65D9D35C89B5}" type="presOf" srcId="{B40E5544-226D-40C3-B9A2-24AD952EE9EC}" destId="{300B715E-70A8-48BC-B464-AC9823BCADB7}" srcOrd="0" destOrd="0" presId="urn:microsoft.com/office/officeart/2009/3/layout/HorizontalOrganizationChart"/>
    <dgm:cxn modelId="{0656EEDB-7E64-4342-B58C-F8BBABFB891F}" type="presOf" srcId="{1CB6E4C1-0B8A-4B0A-89E7-E8231AE85AFE}" destId="{5881B133-24CA-478F-A849-6D8608056AD5}" srcOrd="1" destOrd="0" presId="urn:microsoft.com/office/officeart/2009/3/layout/HorizontalOrganizationChart"/>
    <dgm:cxn modelId="{9029BFEE-FEED-40E9-AD62-814707BBF845}" type="presOf" srcId="{FD65F2DB-29AA-4A7D-A72E-15044303EEDC}" destId="{F1E5D692-2E96-4465-85BE-17D8BD8327DD}" srcOrd="0" destOrd="0" presId="urn:microsoft.com/office/officeart/2009/3/layout/HorizontalOrganizationChart"/>
    <dgm:cxn modelId="{51DE2ED7-C834-4FF5-BF52-D040AB587CED}" type="presParOf" srcId="{B1859AA6-7B18-4021-957A-883BF8354079}" destId="{AF536B66-6915-4648-88BA-F830C9A78C27}" srcOrd="0" destOrd="0" presId="urn:microsoft.com/office/officeart/2009/3/layout/HorizontalOrganizationChart"/>
    <dgm:cxn modelId="{49DC8543-3D52-44D1-B8DD-AFAAC27B951A}" type="presParOf" srcId="{AF536B66-6915-4648-88BA-F830C9A78C27}" destId="{4F475011-E2D3-449C-B6BC-24D78688C52F}" srcOrd="0" destOrd="0" presId="urn:microsoft.com/office/officeart/2009/3/layout/HorizontalOrganizationChart"/>
    <dgm:cxn modelId="{B6F0787B-153B-417F-BDE3-601127FB895F}" type="presParOf" srcId="{4F475011-E2D3-449C-B6BC-24D78688C52F}" destId="{F1E5D692-2E96-4465-85BE-17D8BD8327DD}" srcOrd="0" destOrd="0" presId="urn:microsoft.com/office/officeart/2009/3/layout/HorizontalOrganizationChart"/>
    <dgm:cxn modelId="{B4FA079C-CFB6-491A-B23C-3F6A57709201}" type="presParOf" srcId="{4F475011-E2D3-449C-B6BC-24D78688C52F}" destId="{5689AC30-4EF8-4E11-A4F3-24C23631A7EA}" srcOrd="1" destOrd="0" presId="urn:microsoft.com/office/officeart/2009/3/layout/HorizontalOrganizationChart"/>
    <dgm:cxn modelId="{93C0DD42-5070-46E9-83F2-981F4AEB4251}" type="presParOf" srcId="{AF536B66-6915-4648-88BA-F830C9A78C27}" destId="{FF15FF33-2A40-459A-A385-97ED60EE26BF}" srcOrd="1" destOrd="0" presId="urn:microsoft.com/office/officeart/2009/3/layout/HorizontalOrganizationChart"/>
    <dgm:cxn modelId="{8CD11445-63CB-4B98-8C69-BC9558393B8C}" type="presParOf" srcId="{FF15FF33-2A40-459A-A385-97ED60EE26BF}" destId="{94E8A244-5149-4C77-A4F7-037E32E62EF9}" srcOrd="0" destOrd="0" presId="urn:microsoft.com/office/officeart/2009/3/layout/HorizontalOrganizationChart"/>
    <dgm:cxn modelId="{A88BC58A-B1C9-476C-969B-CB6C03B07D92}" type="presParOf" srcId="{FF15FF33-2A40-459A-A385-97ED60EE26BF}" destId="{7DA58A9E-946B-47F3-9E30-89C2612A286B}" srcOrd="1" destOrd="0" presId="urn:microsoft.com/office/officeart/2009/3/layout/HorizontalOrganizationChart"/>
    <dgm:cxn modelId="{E023DF5F-2F5F-4DA5-B7DB-0AC9199DC908}" type="presParOf" srcId="{7DA58A9E-946B-47F3-9E30-89C2612A286B}" destId="{8FD268E3-2989-41B1-A353-40DC0F8FE10F}" srcOrd="0" destOrd="0" presId="urn:microsoft.com/office/officeart/2009/3/layout/HorizontalOrganizationChart"/>
    <dgm:cxn modelId="{4F1EFA83-821A-403D-82AA-18699EB5A772}" type="presParOf" srcId="{8FD268E3-2989-41B1-A353-40DC0F8FE10F}" destId="{590EA2F8-05AE-47EF-A54C-6982E740FD16}" srcOrd="0" destOrd="0" presId="urn:microsoft.com/office/officeart/2009/3/layout/HorizontalOrganizationChart"/>
    <dgm:cxn modelId="{D072F563-CCB4-487D-A1C0-BAF873A60D67}" type="presParOf" srcId="{8FD268E3-2989-41B1-A353-40DC0F8FE10F}" destId="{143F502D-E59B-4F29-B3C4-655D61A57464}" srcOrd="1" destOrd="0" presId="urn:microsoft.com/office/officeart/2009/3/layout/HorizontalOrganizationChart"/>
    <dgm:cxn modelId="{506C82EE-E5BC-458F-9AA0-032420A2D559}" type="presParOf" srcId="{7DA58A9E-946B-47F3-9E30-89C2612A286B}" destId="{EE29BFAD-D075-47AF-890D-2F98EE57A385}" srcOrd="1" destOrd="0" presId="urn:microsoft.com/office/officeart/2009/3/layout/HorizontalOrganizationChart"/>
    <dgm:cxn modelId="{6ECE0296-3B28-4DE4-961F-19279BB6C8F7}" type="presParOf" srcId="{EE29BFAD-D075-47AF-890D-2F98EE57A385}" destId="{51EFF019-F026-4550-9711-E39227366898}" srcOrd="0" destOrd="0" presId="urn:microsoft.com/office/officeart/2009/3/layout/HorizontalOrganizationChart"/>
    <dgm:cxn modelId="{32E8543D-B9F0-4423-950E-F98C6049864D}" type="presParOf" srcId="{EE29BFAD-D075-47AF-890D-2F98EE57A385}" destId="{0A39734C-FDD6-4B56-ACF0-61855D0F9A40}" srcOrd="1" destOrd="0" presId="urn:microsoft.com/office/officeart/2009/3/layout/HorizontalOrganizationChart"/>
    <dgm:cxn modelId="{4AF3BDBB-94B5-46DE-8F05-FB48B176CFB3}" type="presParOf" srcId="{0A39734C-FDD6-4B56-ACF0-61855D0F9A40}" destId="{E89CE448-EFBF-46BC-AEE4-DE37C4D06470}" srcOrd="0" destOrd="0" presId="urn:microsoft.com/office/officeart/2009/3/layout/HorizontalOrganizationChart"/>
    <dgm:cxn modelId="{6027481D-9DD2-49A5-BF80-E4EFFD3E3406}" type="presParOf" srcId="{E89CE448-EFBF-46BC-AEE4-DE37C4D06470}" destId="{691595BB-D24C-488E-AC6E-859A60E625FF}" srcOrd="0" destOrd="0" presId="urn:microsoft.com/office/officeart/2009/3/layout/HorizontalOrganizationChart"/>
    <dgm:cxn modelId="{93521784-F6A8-40FB-A1B8-DE631FF394F9}" type="presParOf" srcId="{E89CE448-EFBF-46BC-AEE4-DE37C4D06470}" destId="{AE082FD0-6866-4B27-99C0-3369033F6F09}" srcOrd="1" destOrd="0" presId="urn:microsoft.com/office/officeart/2009/3/layout/HorizontalOrganizationChart"/>
    <dgm:cxn modelId="{91EE7AF9-4B10-468C-973D-345337D75F21}" type="presParOf" srcId="{0A39734C-FDD6-4B56-ACF0-61855D0F9A40}" destId="{3B08E8EF-A7E8-4402-A5F5-4C8CA235DF67}" srcOrd="1" destOrd="0" presId="urn:microsoft.com/office/officeart/2009/3/layout/HorizontalOrganizationChart"/>
    <dgm:cxn modelId="{DF335799-5BA6-41B1-847A-3F9E9F5977E8}" type="presParOf" srcId="{3B08E8EF-A7E8-4402-A5F5-4C8CA235DF67}" destId="{8275CC2E-D9CD-44F1-B7EF-E04E2A069673}" srcOrd="0" destOrd="0" presId="urn:microsoft.com/office/officeart/2009/3/layout/HorizontalOrganizationChart"/>
    <dgm:cxn modelId="{9677A086-E10F-4F54-B9DB-9B618F71214D}" type="presParOf" srcId="{3B08E8EF-A7E8-4402-A5F5-4C8CA235DF67}" destId="{D70424A0-3E0F-44CB-9061-FB87FA353327}" srcOrd="1" destOrd="0" presId="urn:microsoft.com/office/officeart/2009/3/layout/HorizontalOrganizationChart"/>
    <dgm:cxn modelId="{45DF724D-8834-4D64-8874-B6655B6917EA}" type="presParOf" srcId="{D70424A0-3E0F-44CB-9061-FB87FA353327}" destId="{B35E82D6-8D93-4E43-99E9-0A61E99D44D7}" srcOrd="0" destOrd="0" presId="urn:microsoft.com/office/officeart/2009/3/layout/HorizontalOrganizationChart"/>
    <dgm:cxn modelId="{4E8E590A-D015-4613-A0CE-AE41FED845FC}" type="presParOf" srcId="{B35E82D6-8D93-4E43-99E9-0A61E99D44D7}" destId="{FF354622-B151-451D-91B4-921FB4279F2A}" srcOrd="0" destOrd="0" presId="urn:microsoft.com/office/officeart/2009/3/layout/HorizontalOrganizationChart"/>
    <dgm:cxn modelId="{0F0DE583-3ABB-4150-9894-AA71F3B4F4E8}" type="presParOf" srcId="{B35E82D6-8D93-4E43-99E9-0A61E99D44D7}" destId="{FA9FDB88-99C9-4D9B-9809-4ADDF88CF42F}" srcOrd="1" destOrd="0" presId="urn:microsoft.com/office/officeart/2009/3/layout/HorizontalOrganizationChart"/>
    <dgm:cxn modelId="{5A67C13F-6CFB-4C7D-9526-03E80A274BF4}" type="presParOf" srcId="{D70424A0-3E0F-44CB-9061-FB87FA353327}" destId="{EA6DE03C-BDC4-4000-8150-3791D502D10C}" srcOrd="1" destOrd="0" presId="urn:microsoft.com/office/officeart/2009/3/layout/HorizontalOrganizationChart"/>
    <dgm:cxn modelId="{ECEF84B6-763D-4BE1-84B2-068DF9A24B00}" type="presParOf" srcId="{EA6DE03C-BDC4-4000-8150-3791D502D10C}" destId="{F35ECA1C-CDDB-4E46-8B61-87DCCDAF7CD7}" srcOrd="0" destOrd="0" presId="urn:microsoft.com/office/officeart/2009/3/layout/HorizontalOrganizationChart"/>
    <dgm:cxn modelId="{82E09669-0082-4934-933B-51FA761DFDCC}" type="presParOf" srcId="{EA6DE03C-BDC4-4000-8150-3791D502D10C}" destId="{31EEB19E-0C29-4605-8418-9F011440939D}" srcOrd="1" destOrd="0" presId="urn:microsoft.com/office/officeart/2009/3/layout/HorizontalOrganizationChart"/>
    <dgm:cxn modelId="{AE5DFFE6-641A-451D-81BA-8B9138977C59}" type="presParOf" srcId="{31EEB19E-0C29-4605-8418-9F011440939D}" destId="{E3717AB1-6D27-4C8E-B954-8C32E0767964}" srcOrd="0" destOrd="0" presId="urn:microsoft.com/office/officeart/2009/3/layout/HorizontalOrganizationChart"/>
    <dgm:cxn modelId="{4555D8EE-E43F-4F6E-8DF9-8B9D1C7305B7}" type="presParOf" srcId="{E3717AB1-6D27-4C8E-B954-8C32E0767964}" destId="{4D101F44-FC9A-4EAC-85D8-F283141C8D18}" srcOrd="0" destOrd="0" presId="urn:microsoft.com/office/officeart/2009/3/layout/HorizontalOrganizationChart"/>
    <dgm:cxn modelId="{02BAB231-A1FF-4E7D-8E78-1D5D588914D8}" type="presParOf" srcId="{E3717AB1-6D27-4C8E-B954-8C32E0767964}" destId="{5881B133-24CA-478F-A849-6D8608056AD5}" srcOrd="1" destOrd="0" presId="urn:microsoft.com/office/officeart/2009/3/layout/HorizontalOrganizationChart"/>
    <dgm:cxn modelId="{A67E7594-5356-49A9-8AB8-26210F5E9011}" type="presParOf" srcId="{31EEB19E-0C29-4605-8418-9F011440939D}" destId="{98C526DB-D71E-445B-AC51-7A8408DFDC2D}" srcOrd="1" destOrd="0" presId="urn:microsoft.com/office/officeart/2009/3/layout/HorizontalOrganizationChart"/>
    <dgm:cxn modelId="{326FC3D9-D54E-4A0A-92A0-C7AF6AFA84CC}" type="presParOf" srcId="{31EEB19E-0C29-4605-8418-9F011440939D}" destId="{20AAF49A-3296-43D3-873F-3D8C0B3249C1}" srcOrd="2" destOrd="0" presId="urn:microsoft.com/office/officeart/2009/3/layout/HorizontalOrganizationChart"/>
    <dgm:cxn modelId="{25F7241D-8789-430B-A49D-19A4F44016E8}" type="presParOf" srcId="{EA6DE03C-BDC4-4000-8150-3791D502D10C}" destId="{FA7C85DE-2035-4D2A-98D4-855FD04F001F}" srcOrd="2" destOrd="0" presId="urn:microsoft.com/office/officeart/2009/3/layout/HorizontalOrganizationChart"/>
    <dgm:cxn modelId="{7AA62956-7744-4DA9-A914-0F39EF94A243}" type="presParOf" srcId="{EA6DE03C-BDC4-4000-8150-3791D502D10C}" destId="{288AE3E0-0FBD-47EA-B8A7-3563931E013E}" srcOrd="3" destOrd="0" presId="urn:microsoft.com/office/officeart/2009/3/layout/HorizontalOrganizationChart"/>
    <dgm:cxn modelId="{D8A43FE9-2F81-4C08-80B6-3BED1A8215BE}" type="presParOf" srcId="{288AE3E0-0FBD-47EA-B8A7-3563931E013E}" destId="{ADED5F26-DEB4-4320-AB49-9A7640D80C95}" srcOrd="0" destOrd="0" presId="urn:microsoft.com/office/officeart/2009/3/layout/HorizontalOrganizationChart"/>
    <dgm:cxn modelId="{5D27A466-9C0D-4A8B-8709-B653767829F4}" type="presParOf" srcId="{ADED5F26-DEB4-4320-AB49-9A7640D80C95}" destId="{B6435770-CEF7-4268-95B1-2FD7233C4324}" srcOrd="0" destOrd="0" presId="urn:microsoft.com/office/officeart/2009/3/layout/HorizontalOrganizationChart"/>
    <dgm:cxn modelId="{918C38B9-7568-45DD-AE50-2C012F5943D0}" type="presParOf" srcId="{ADED5F26-DEB4-4320-AB49-9A7640D80C95}" destId="{82204BBB-A874-46B6-9288-BC1633E1087C}" srcOrd="1" destOrd="0" presId="urn:microsoft.com/office/officeart/2009/3/layout/HorizontalOrganizationChart"/>
    <dgm:cxn modelId="{6C4CA9E8-2055-46F0-B24F-A98BBCC83317}" type="presParOf" srcId="{288AE3E0-0FBD-47EA-B8A7-3563931E013E}" destId="{6D372409-35A6-4A24-BAAF-B84F646F08CA}" srcOrd="1" destOrd="0" presId="urn:microsoft.com/office/officeart/2009/3/layout/HorizontalOrganizationChart"/>
    <dgm:cxn modelId="{8C515065-E196-48C8-91BE-5B0B6252E99E}" type="presParOf" srcId="{288AE3E0-0FBD-47EA-B8A7-3563931E013E}" destId="{A164E71F-79A7-4D88-81FF-63B96F7FFFBB}" srcOrd="2" destOrd="0" presId="urn:microsoft.com/office/officeart/2009/3/layout/HorizontalOrganizationChart"/>
    <dgm:cxn modelId="{1B50B3AF-DA59-403C-92BA-96D54D80FFBF}" type="presParOf" srcId="{EA6DE03C-BDC4-4000-8150-3791D502D10C}" destId="{A44DE085-7EE7-4469-B638-6882E2164022}" srcOrd="4" destOrd="0" presId="urn:microsoft.com/office/officeart/2009/3/layout/HorizontalOrganizationChart"/>
    <dgm:cxn modelId="{CF8BE471-1E13-4C6B-8788-DC36DA1C7F98}" type="presParOf" srcId="{EA6DE03C-BDC4-4000-8150-3791D502D10C}" destId="{1479EE72-B3B5-4AF9-A724-B63779F3A042}" srcOrd="5" destOrd="0" presId="urn:microsoft.com/office/officeart/2009/3/layout/HorizontalOrganizationChart"/>
    <dgm:cxn modelId="{3A5689CC-AB91-4A7D-89A8-5F80665176DB}" type="presParOf" srcId="{1479EE72-B3B5-4AF9-A724-B63779F3A042}" destId="{7E577C9F-EB96-4396-9936-86C505F98E49}" srcOrd="0" destOrd="0" presId="urn:microsoft.com/office/officeart/2009/3/layout/HorizontalOrganizationChart"/>
    <dgm:cxn modelId="{753FDD41-BB54-4177-A75F-231146060F9F}" type="presParOf" srcId="{7E577C9F-EB96-4396-9936-86C505F98E49}" destId="{300B715E-70A8-48BC-B464-AC9823BCADB7}" srcOrd="0" destOrd="0" presId="urn:microsoft.com/office/officeart/2009/3/layout/HorizontalOrganizationChart"/>
    <dgm:cxn modelId="{CDD5C93C-FC4A-4314-A6FC-C4622EAA661C}" type="presParOf" srcId="{7E577C9F-EB96-4396-9936-86C505F98E49}" destId="{2BE1FCB4-F641-4A7B-810B-85269C57EF3D}" srcOrd="1" destOrd="0" presId="urn:microsoft.com/office/officeart/2009/3/layout/HorizontalOrganizationChart"/>
    <dgm:cxn modelId="{52069F10-41CA-4BFE-95A6-0DFEB8732932}" type="presParOf" srcId="{1479EE72-B3B5-4AF9-A724-B63779F3A042}" destId="{E0174681-A480-4EFA-9157-B170E40846C7}" srcOrd="1" destOrd="0" presId="urn:microsoft.com/office/officeart/2009/3/layout/HorizontalOrganizationChart"/>
    <dgm:cxn modelId="{ED4D4059-12DF-478D-AED8-3513D04E6C80}" type="presParOf" srcId="{1479EE72-B3B5-4AF9-A724-B63779F3A042}" destId="{394643FC-3D43-4AC9-99B2-7476753BF431}" srcOrd="2" destOrd="0" presId="urn:microsoft.com/office/officeart/2009/3/layout/HorizontalOrganizationChart"/>
    <dgm:cxn modelId="{3C6AC2AC-DF4E-45B7-965B-B00EB63116D5}" type="presParOf" srcId="{EA6DE03C-BDC4-4000-8150-3791D502D10C}" destId="{8A81E5AA-096B-4EA2-9EA7-AF5C19C30B74}" srcOrd="6" destOrd="0" presId="urn:microsoft.com/office/officeart/2009/3/layout/HorizontalOrganizationChart"/>
    <dgm:cxn modelId="{A70BB554-16D2-4D4B-8495-715B446C98AD}" type="presParOf" srcId="{EA6DE03C-BDC4-4000-8150-3791D502D10C}" destId="{5DBFAB58-D377-4FDF-B128-367B76C064DB}" srcOrd="7" destOrd="0" presId="urn:microsoft.com/office/officeart/2009/3/layout/HorizontalOrganizationChart"/>
    <dgm:cxn modelId="{23D0FA40-6889-4DA0-A361-16961AAC25C4}" type="presParOf" srcId="{5DBFAB58-D377-4FDF-B128-367B76C064DB}" destId="{5E0AD181-4077-45E4-841E-DAE2119DA31C}" srcOrd="0" destOrd="0" presId="urn:microsoft.com/office/officeart/2009/3/layout/HorizontalOrganizationChart"/>
    <dgm:cxn modelId="{6832C53E-98DB-40B9-8617-BACF5064D6AC}" type="presParOf" srcId="{5E0AD181-4077-45E4-841E-DAE2119DA31C}" destId="{21BF4BD2-A8B7-4826-89C9-145C7736D493}" srcOrd="0" destOrd="0" presId="urn:microsoft.com/office/officeart/2009/3/layout/HorizontalOrganizationChart"/>
    <dgm:cxn modelId="{C373AF07-7D7E-46D8-B978-8DD61D6C94FA}" type="presParOf" srcId="{5E0AD181-4077-45E4-841E-DAE2119DA31C}" destId="{EAA6F704-5E81-4CEB-80CD-B8669C4D6192}" srcOrd="1" destOrd="0" presId="urn:microsoft.com/office/officeart/2009/3/layout/HorizontalOrganizationChart"/>
    <dgm:cxn modelId="{22221716-0A01-40D9-9DFD-2F0E881B56CD}" type="presParOf" srcId="{5DBFAB58-D377-4FDF-B128-367B76C064DB}" destId="{3EC51F14-0C6C-4EB6-BB2A-EA65FCDB66A2}" srcOrd="1" destOrd="0" presId="urn:microsoft.com/office/officeart/2009/3/layout/HorizontalOrganizationChart"/>
    <dgm:cxn modelId="{EE742F9D-7411-46E8-8E14-8D6BEE7B61BE}" type="presParOf" srcId="{5DBFAB58-D377-4FDF-B128-367B76C064DB}" destId="{023738CF-C4FF-45B6-8B7F-F5465161D490}" srcOrd="2" destOrd="0" presId="urn:microsoft.com/office/officeart/2009/3/layout/HorizontalOrganizationChart"/>
    <dgm:cxn modelId="{C0FA7EAA-9F5D-4D8E-9FB2-B7A2518D3CF5}" type="presParOf" srcId="{D70424A0-3E0F-44CB-9061-FB87FA353327}" destId="{DF594A96-41E4-43E8-B4A0-D757782D2E0D}" srcOrd="2" destOrd="0" presId="urn:microsoft.com/office/officeart/2009/3/layout/HorizontalOrganizationChart"/>
    <dgm:cxn modelId="{3ECE58B8-E9B0-407C-B43B-F7028578E819}" type="presParOf" srcId="{0A39734C-FDD6-4B56-ACF0-61855D0F9A40}" destId="{903E5D42-1341-42D8-A5FE-1E509716B65F}" srcOrd="2" destOrd="0" presId="urn:microsoft.com/office/officeart/2009/3/layout/HorizontalOrganizationChart"/>
    <dgm:cxn modelId="{48913684-BB41-418E-A6F8-36C6FBAC6992}" type="presParOf" srcId="{7DA58A9E-946B-47F3-9E30-89C2612A286B}" destId="{687353C6-838F-417B-8649-097B518974D5}" srcOrd="2" destOrd="0" presId="urn:microsoft.com/office/officeart/2009/3/layout/HorizontalOrganizationChart"/>
    <dgm:cxn modelId="{C82F52B8-C093-49FF-B96F-35EFB7CBE654}" type="presParOf" srcId="{AF536B66-6915-4648-88BA-F830C9A78C27}" destId="{48E94AC4-6B96-4F6D-883D-E61B70B05225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A81E5AA-096B-4EA2-9EA7-AF5C19C30B74}">
      <dsp:nvSpPr>
        <dsp:cNvPr id="0" name=""/>
        <dsp:cNvSpPr/>
      </dsp:nvSpPr>
      <dsp:spPr>
        <a:xfrm>
          <a:off x="3225206" y="1440089"/>
          <a:ext cx="197712" cy="63762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98856" y="0"/>
              </a:lnTo>
              <a:lnTo>
                <a:pt x="98856" y="637623"/>
              </a:lnTo>
              <a:lnTo>
                <a:pt x="197712" y="63762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44DE085-7EE7-4469-B638-6882E2164022}">
      <dsp:nvSpPr>
        <dsp:cNvPr id="0" name=""/>
        <dsp:cNvSpPr/>
      </dsp:nvSpPr>
      <dsp:spPr>
        <a:xfrm>
          <a:off x="3225206" y="1440089"/>
          <a:ext cx="197712" cy="2125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98856" y="0"/>
              </a:lnTo>
              <a:lnTo>
                <a:pt x="98856" y="212541"/>
              </a:lnTo>
              <a:lnTo>
                <a:pt x="197712" y="21254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A7C85DE-2035-4D2A-98D4-855FD04F001F}">
      <dsp:nvSpPr>
        <dsp:cNvPr id="0" name=""/>
        <dsp:cNvSpPr/>
      </dsp:nvSpPr>
      <dsp:spPr>
        <a:xfrm>
          <a:off x="3225206" y="1227548"/>
          <a:ext cx="197712" cy="212541"/>
        </a:xfrm>
        <a:custGeom>
          <a:avLst/>
          <a:gdLst/>
          <a:ahLst/>
          <a:cxnLst/>
          <a:rect l="0" t="0" r="0" b="0"/>
          <a:pathLst>
            <a:path>
              <a:moveTo>
                <a:pt x="0" y="212541"/>
              </a:moveTo>
              <a:lnTo>
                <a:pt x="98856" y="212541"/>
              </a:lnTo>
              <a:lnTo>
                <a:pt x="98856" y="0"/>
              </a:lnTo>
              <a:lnTo>
                <a:pt x="197712" y="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5ECA1C-CDDB-4E46-8B61-87DCCDAF7CD7}">
      <dsp:nvSpPr>
        <dsp:cNvPr id="0" name=""/>
        <dsp:cNvSpPr/>
      </dsp:nvSpPr>
      <dsp:spPr>
        <a:xfrm>
          <a:off x="3225206" y="802465"/>
          <a:ext cx="197712" cy="637623"/>
        </a:xfrm>
        <a:custGeom>
          <a:avLst/>
          <a:gdLst/>
          <a:ahLst/>
          <a:cxnLst/>
          <a:rect l="0" t="0" r="0" b="0"/>
          <a:pathLst>
            <a:path>
              <a:moveTo>
                <a:pt x="0" y="637623"/>
              </a:moveTo>
              <a:lnTo>
                <a:pt x="98856" y="637623"/>
              </a:lnTo>
              <a:lnTo>
                <a:pt x="98856" y="0"/>
              </a:lnTo>
              <a:lnTo>
                <a:pt x="197712" y="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275CC2E-D9CD-44F1-B7EF-E04E2A069673}">
      <dsp:nvSpPr>
        <dsp:cNvPr id="0" name=""/>
        <dsp:cNvSpPr/>
      </dsp:nvSpPr>
      <dsp:spPr>
        <a:xfrm>
          <a:off x="2698806" y="1394369"/>
          <a:ext cx="19771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97712" y="4572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1EFF019-F026-4550-9711-E39227366898}">
      <dsp:nvSpPr>
        <dsp:cNvPr id="0" name=""/>
        <dsp:cNvSpPr/>
      </dsp:nvSpPr>
      <dsp:spPr>
        <a:xfrm>
          <a:off x="1512529" y="1394369"/>
          <a:ext cx="19771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97712" y="4572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E8A244-5149-4C77-A4F7-037E32E62EF9}">
      <dsp:nvSpPr>
        <dsp:cNvPr id="0" name=""/>
        <dsp:cNvSpPr/>
      </dsp:nvSpPr>
      <dsp:spPr>
        <a:xfrm>
          <a:off x="990330" y="1394369"/>
          <a:ext cx="19771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97712" y="4572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E5D692-2E96-4465-85BE-17D8BD8327DD}">
      <dsp:nvSpPr>
        <dsp:cNvPr id="0" name=""/>
        <dsp:cNvSpPr/>
      </dsp:nvSpPr>
      <dsp:spPr>
        <a:xfrm>
          <a:off x="1767" y="1289333"/>
          <a:ext cx="988563" cy="3015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300" kern="1200"/>
            <a:t>10.0.3.4/30</a:t>
          </a:r>
        </a:p>
      </dsp:txBody>
      <dsp:txXfrm>
        <a:off x="1767" y="1289333"/>
        <a:ext cx="988563" cy="301511"/>
      </dsp:txXfrm>
    </dsp:sp>
    <dsp:sp modelId="{590EA2F8-05AE-47EF-A54C-6982E740FD16}">
      <dsp:nvSpPr>
        <dsp:cNvPr id="0" name=""/>
        <dsp:cNvSpPr/>
      </dsp:nvSpPr>
      <dsp:spPr>
        <a:xfrm>
          <a:off x="1188043" y="1289333"/>
          <a:ext cx="324486" cy="301511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300" kern="1200"/>
            <a:t>R1</a:t>
          </a:r>
        </a:p>
      </dsp:txBody>
      <dsp:txXfrm>
        <a:off x="1235563" y="1333488"/>
        <a:ext cx="229446" cy="213201"/>
      </dsp:txXfrm>
    </dsp:sp>
    <dsp:sp modelId="{691595BB-D24C-488E-AC6E-859A60E625FF}">
      <dsp:nvSpPr>
        <dsp:cNvPr id="0" name=""/>
        <dsp:cNvSpPr/>
      </dsp:nvSpPr>
      <dsp:spPr>
        <a:xfrm>
          <a:off x="1710242" y="1289333"/>
          <a:ext cx="988563" cy="3015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300" kern="1200"/>
            <a:t>10.0.3.0/30</a:t>
          </a:r>
        </a:p>
      </dsp:txBody>
      <dsp:txXfrm>
        <a:off x="1710242" y="1289333"/>
        <a:ext cx="988563" cy="301511"/>
      </dsp:txXfrm>
    </dsp:sp>
    <dsp:sp modelId="{FF354622-B151-451D-91B4-921FB4279F2A}">
      <dsp:nvSpPr>
        <dsp:cNvPr id="0" name=""/>
        <dsp:cNvSpPr/>
      </dsp:nvSpPr>
      <dsp:spPr>
        <a:xfrm>
          <a:off x="2896518" y="1289333"/>
          <a:ext cx="328687" cy="301511"/>
        </a:xfrm>
        <a:prstGeom prst="flowChartConnector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300" kern="1200"/>
            <a:t>R2</a:t>
          </a:r>
        </a:p>
      </dsp:txBody>
      <dsp:txXfrm>
        <a:off x="2944653" y="1333488"/>
        <a:ext cx="232417" cy="213201"/>
      </dsp:txXfrm>
    </dsp:sp>
    <dsp:sp modelId="{4D101F44-FC9A-4EAC-85D8-F283141C8D18}">
      <dsp:nvSpPr>
        <dsp:cNvPr id="0" name=""/>
        <dsp:cNvSpPr/>
      </dsp:nvSpPr>
      <dsp:spPr>
        <a:xfrm>
          <a:off x="3422919" y="651709"/>
          <a:ext cx="988563" cy="3015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300" kern="1200"/>
            <a:t>10.0.0.0/23</a:t>
          </a:r>
        </a:p>
      </dsp:txBody>
      <dsp:txXfrm>
        <a:off x="3422919" y="651709"/>
        <a:ext cx="988563" cy="301511"/>
      </dsp:txXfrm>
    </dsp:sp>
    <dsp:sp modelId="{B6435770-CEF7-4268-95B1-2FD7233C4324}">
      <dsp:nvSpPr>
        <dsp:cNvPr id="0" name=""/>
        <dsp:cNvSpPr/>
      </dsp:nvSpPr>
      <dsp:spPr>
        <a:xfrm>
          <a:off x="3422919" y="1076792"/>
          <a:ext cx="988563" cy="3015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300" kern="1200"/>
            <a:t>10.0.2.0/25</a:t>
          </a:r>
        </a:p>
      </dsp:txBody>
      <dsp:txXfrm>
        <a:off x="3422919" y="1076792"/>
        <a:ext cx="988563" cy="301511"/>
      </dsp:txXfrm>
    </dsp:sp>
    <dsp:sp modelId="{300B715E-70A8-48BC-B464-AC9823BCADB7}">
      <dsp:nvSpPr>
        <dsp:cNvPr id="0" name=""/>
        <dsp:cNvSpPr/>
      </dsp:nvSpPr>
      <dsp:spPr>
        <a:xfrm>
          <a:off x="3422919" y="1501874"/>
          <a:ext cx="988563" cy="3015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300" kern="1200"/>
            <a:t>10.0.2.128/26</a:t>
          </a:r>
        </a:p>
      </dsp:txBody>
      <dsp:txXfrm>
        <a:off x="3422919" y="1501874"/>
        <a:ext cx="988563" cy="301511"/>
      </dsp:txXfrm>
    </dsp:sp>
    <dsp:sp modelId="{21BF4BD2-A8B7-4826-89C9-145C7736D493}">
      <dsp:nvSpPr>
        <dsp:cNvPr id="0" name=""/>
        <dsp:cNvSpPr/>
      </dsp:nvSpPr>
      <dsp:spPr>
        <a:xfrm>
          <a:off x="3422919" y="1926957"/>
          <a:ext cx="988563" cy="3015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AR" sz="1300" kern="1200"/>
            <a:t>10.0.2.192/27</a:t>
          </a:r>
        </a:p>
      </dsp:txBody>
      <dsp:txXfrm>
        <a:off x="3422919" y="1926957"/>
        <a:ext cx="988563" cy="30151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20410</xdr:colOff>
      <xdr:row>1</xdr:row>
      <xdr:rowOff>29935</xdr:rowOff>
    </xdr:from>
    <xdr:to>
      <xdr:col>11</xdr:col>
      <xdr:colOff>623660</xdr:colOff>
      <xdr:row>16</xdr:row>
      <xdr:rowOff>33564</xdr:rowOff>
    </xdr:to>
    <xdr:graphicFrame macro="">
      <xdr:nvGraphicFramePr>
        <xdr:cNvPr id="8" name="Diagrama 7">
          <a:extLst>
            <a:ext uri="{FF2B5EF4-FFF2-40B4-BE49-F238E27FC236}">
              <a16:creationId xmlns:a16="http://schemas.microsoft.com/office/drawing/2014/main" id="{7F21097A-7338-34B1-6A0F-817A83ACA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267693-F46F-43D6-9FB0-89E245E3CF88}" name="Tabla3" displayName="Tabla3" ref="A27:J34" totalsRowShown="0" headerRowDxfId="11" dataDxfId="10">
  <autoFilter ref="A27:J34" xr:uid="{FE267693-F46F-43D6-9FB0-89E245E3CF88}"/>
  <tableColumns count="10">
    <tableColumn id="1" xr3:uid="{4197323C-663A-45CC-94DD-50A9FA9644DC}" name="DTO" dataDxfId="9"/>
    <tableColumn id="2" xr3:uid="{43945A6A-A371-4D87-B48F-AD731893A1B1}" name="TOTAL" dataDxfId="8"/>
    <tableColumn id="3" xr3:uid="{E6B4A040-0F76-47EB-B94C-AEA74F0BDDFB}" name="BITS" dataDxfId="7">
      <calculatedColumnFormula>IFERROR(ROUNDUP(LOG(B28,2),0),"")</calculatedColumnFormula>
    </tableColumn>
    <tableColumn id="4" xr3:uid="{951BDCB5-7EFA-4EF2-98E2-6B93B749DFFC}" name="NETWORK" dataDxfId="6"/>
    <tableColumn id="5" xr3:uid="{F52441C5-2C09-43D7-A1B8-B0A4CDFBF8E5}" name="PRIMER IP" dataDxfId="5"/>
    <tableColumn id="6" xr3:uid="{96E59C41-2674-455E-9C50-1CC7515A7099}" name="ULTIMA IP" dataDxfId="4"/>
    <tableColumn id="7" xr3:uid="{C310116B-7668-421C-BC44-7C6828101031}" name="BROADCAST" dataDxfId="3"/>
    <tableColumn id="8" xr3:uid="{2FEEE656-9C72-470B-AA7A-164213ECB797}" name="CIDR" dataDxfId="2">
      <calculatedColumnFormula>32-C28</calculatedColumnFormula>
    </tableColumn>
    <tableColumn id="9" xr3:uid="{90592EE5-E62D-4F32-9353-76008D340572}" name="MASK" dataDxfId="1"/>
    <tableColumn id="10" xr3:uid="{5D352B48-EA5E-480D-8B3B-389B0FB697CD}" name="HOSTS" dataDxfId="0">
      <calculatedColumnFormula>IFERROR(2^C28-2,"")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B0D6E-9F30-4AA1-9140-49C31942E089}" name="Tabla1" displayName="Tabla1" ref="A1:F5" totalsRowShown="0" headerRowDxfId="18" dataDxfId="17">
  <autoFilter ref="A1:F5" xr:uid="{967B0D6E-9F30-4AA1-9140-49C31942E089}"/>
  <tableColumns count="6">
    <tableColumn id="1" xr3:uid="{894BD3FA-5353-499B-8A74-65551B3CE434}" name="AND"/>
    <tableColumn id="2" xr3:uid="{2B383354-3141-4138-9CEC-B3D2A6FD64B5}" name="decimal" dataDxfId="16"/>
    <tableColumn id="3" xr3:uid="{D59970D9-BCAA-40DA-8074-B62EF56C590D}" name="Byte 1" dataDxfId="15"/>
    <tableColumn id="4" xr3:uid="{6DFD643D-1253-4B94-8983-13D382EE9317}" name="Byte 2" dataDxfId="14"/>
    <tableColumn id="5" xr3:uid="{BE3696AE-7C6C-4A2C-97E0-FB1038EE0434}" name="Byte 3" dataDxfId="13"/>
    <tableColumn id="6" xr3:uid="{6DB18FC6-15C6-422E-B011-0026AD90B72C}" name="Byte 4" dataDxfId="1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0A31-4FBB-4D3F-B799-CADA98D1BA7F}">
  <dimension ref="A1:B6"/>
  <sheetViews>
    <sheetView workbookViewId="0">
      <selection activeCell="B5" sqref="B5"/>
    </sheetView>
  </sheetViews>
  <sheetFormatPr baseColWidth="10" defaultRowHeight="42" customHeight="1" x14ac:dyDescent="0.25"/>
  <cols>
    <col min="1" max="1" width="10.42578125" bestFit="1" customWidth="1"/>
    <col min="2" max="2" width="66.7109375" customWidth="1"/>
  </cols>
  <sheetData>
    <row r="1" spans="1:2" ht="15" x14ac:dyDescent="0.25">
      <c r="A1" t="s">
        <v>97</v>
      </c>
      <c r="B1" t="s">
        <v>98</v>
      </c>
    </row>
    <row r="2" spans="1:2" ht="30" x14ac:dyDescent="0.25">
      <c r="A2" s="58" t="s">
        <v>99</v>
      </c>
      <c r="B2" s="59" t="s">
        <v>104</v>
      </c>
    </row>
    <row r="3" spans="1:2" ht="45" x14ac:dyDescent="0.25">
      <c r="A3" s="58" t="s">
        <v>100</v>
      </c>
      <c r="B3" s="59" t="s">
        <v>105</v>
      </c>
    </row>
    <row r="4" spans="1:2" ht="30" x14ac:dyDescent="0.25">
      <c r="A4" s="58" t="s">
        <v>101</v>
      </c>
      <c r="B4" s="59" t="s">
        <v>106</v>
      </c>
    </row>
    <row r="5" spans="1:2" ht="30" x14ac:dyDescent="0.25">
      <c r="A5" s="58" t="s">
        <v>102</v>
      </c>
      <c r="B5" s="59" t="s">
        <v>107</v>
      </c>
    </row>
    <row r="6" spans="1:2" ht="45" x14ac:dyDescent="0.25">
      <c r="A6" s="58" t="s">
        <v>103</v>
      </c>
      <c r="B6" s="5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3544-7FE6-4628-8C98-C7A12867FB8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84CA-4DFC-4967-B806-DAFC49B1772D}">
  <dimension ref="A1:M35"/>
  <sheetViews>
    <sheetView tabSelected="1" topLeftCell="A10" workbookViewId="0">
      <selection activeCell="L31" sqref="L31"/>
    </sheetView>
  </sheetViews>
  <sheetFormatPr baseColWidth="10" defaultRowHeight="15" x14ac:dyDescent="0.25"/>
  <cols>
    <col min="1" max="1" width="7.140625" bestFit="1" customWidth="1"/>
    <col min="2" max="2" width="8.85546875" bestFit="1" customWidth="1"/>
    <col min="3" max="3" width="7.140625" bestFit="1" customWidth="1"/>
    <col min="4" max="4" width="14.85546875" style="1" bestFit="1" customWidth="1"/>
    <col min="5" max="5" width="14.7109375" style="1" bestFit="1" customWidth="1"/>
    <col min="6" max="6" width="14.28515625" style="1" bestFit="1" customWidth="1"/>
    <col min="7" max="7" width="16.7109375" style="1" bestFit="1" customWidth="1"/>
    <col min="8" max="8" width="8" bestFit="1" customWidth="1"/>
    <col min="9" max="9" width="14.7109375" bestFit="1" customWidth="1"/>
    <col min="10" max="10" width="9.42578125" bestFit="1" customWidth="1"/>
    <col min="11" max="11" width="28.42578125" bestFit="1" customWidth="1"/>
    <col min="12" max="12" width="10.28515625" bestFit="1" customWidth="1"/>
    <col min="13" max="13" width="12.140625" bestFit="1" customWidth="1"/>
  </cols>
  <sheetData>
    <row r="1" spans="1:10" x14ac:dyDescent="0.25">
      <c r="A1" t="s">
        <v>16</v>
      </c>
      <c r="B1" s="64" t="s">
        <v>6</v>
      </c>
      <c r="C1" s="64"/>
      <c r="D1" s="64"/>
      <c r="E1" s="64"/>
      <c r="F1" s="64"/>
      <c r="G1" s="64"/>
      <c r="H1" s="64"/>
      <c r="I1" s="64"/>
      <c r="J1" s="64"/>
    </row>
    <row r="2" spans="1:10" x14ac:dyDescent="0.25">
      <c r="A2" t="s">
        <v>0</v>
      </c>
      <c r="B2" s="64" t="s">
        <v>7</v>
      </c>
      <c r="C2" s="64"/>
      <c r="D2" s="64"/>
      <c r="E2" s="64"/>
      <c r="F2" s="64"/>
      <c r="G2" s="64"/>
      <c r="H2" s="64"/>
      <c r="I2" s="64"/>
      <c r="J2" s="64"/>
    </row>
    <row r="3" spans="1:10" x14ac:dyDescent="0.25">
      <c r="A3" t="s">
        <v>1</v>
      </c>
      <c r="B3" s="64" t="s">
        <v>11</v>
      </c>
      <c r="C3" s="64"/>
      <c r="D3" s="64"/>
      <c r="E3" s="64"/>
      <c r="F3" s="64"/>
      <c r="G3" s="64"/>
      <c r="H3" s="64"/>
      <c r="I3" s="64"/>
      <c r="J3" s="64"/>
    </row>
    <row r="4" spans="1:10" x14ac:dyDescent="0.25">
      <c r="A4" t="s">
        <v>2</v>
      </c>
      <c r="B4" s="64" t="s">
        <v>12</v>
      </c>
      <c r="C4" s="64"/>
      <c r="D4" s="64"/>
      <c r="E4" s="64"/>
      <c r="F4" s="64"/>
      <c r="G4" s="64"/>
      <c r="H4" s="64"/>
      <c r="I4" s="64"/>
      <c r="J4" s="64"/>
    </row>
    <row r="5" spans="1:10" x14ac:dyDescent="0.25">
      <c r="A5" t="s">
        <v>3</v>
      </c>
      <c r="B5" s="64" t="s">
        <v>13</v>
      </c>
      <c r="C5" s="64"/>
      <c r="D5" s="64"/>
      <c r="E5" s="64"/>
      <c r="F5" s="64"/>
      <c r="G5" s="64"/>
      <c r="H5" s="64"/>
      <c r="I5" s="64"/>
      <c r="J5" s="64"/>
    </row>
    <row r="6" spans="1:10" x14ac:dyDescent="0.25">
      <c r="A6" t="s">
        <v>4</v>
      </c>
      <c r="B6" s="64" t="s">
        <v>14</v>
      </c>
      <c r="C6" s="64"/>
      <c r="D6" s="64"/>
      <c r="E6" s="64"/>
      <c r="F6" s="64"/>
      <c r="G6" s="64"/>
      <c r="H6" s="64"/>
      <c r="I6" s="64"/>
      <c r="J6" s="64"/>
    </row>
    <row r="7" spans="1:10" x14ac:dyDescent="0.25">
      <c r="A7" t="s">
        <v>5</v>
      </c>
      <c r="B7" s="64" t="s">
        <v>15</v>
      </c>
      <c r="C7" s="64"/>
      <c r="D7" s="64"/>
      <c r="E7" s="64"/>
      <c r="F7" s="64"/>
      <c r="G7" s="64"/>
      <c r="H7" s="64"/>
      <c r="I7" s="64"/>
      <c r="J7" s="64"/>
    </row>
    <row r="9" spans="1:10" x14ac:dyDescent="0.25">
      <c r="A9" s="15" t="s">
        <v>16</v>
      </c>
      <c r="B9" s="16" t="s">
        <v>10</v>
      </c>
      <c r="C9" s="16" t="s">
        <v>9</v>
      </c>
      <c r="D9" s="49" t="s">
        <v>21</v>
      </c>
      <c r="E9" s="49" t="s">
        <v>18</v>
      </c>
      <c r="F9" s="49" t="s">
        <v>19</v>
      </c>
      <c r="G9" s="49" t="s">
        <v>20</v>
      </c>
      <c r="H9" s="16" t="s">
        <v>23</v>
      </c>
      <c r="I9" s="16" t="s">
        <v>24</v>
      </c>
      <c r="J9" s="17" t="s">
        <v>8</v>
      </c>
    </row>
    <row r="10" spans="1:10" x14ac:dyDescent="0.25">
      <c r="A10" s="18" t="s">
        <v>4</v>
      </c>
      <c r="B10" s="19">
        <v>281</v>
      </c>
      <c r="C10" s="19">
        <f t="shared" ref="C10:C15" si="0">IFERROR(ROUNDUP(LOG(B10,2),0),"")</f>
        <v>9</v>
      </c>
      <c r="D10" s="50" t="s">
        <v>17</v>
      </c>
      <c r="E10" s="50" t="s">
        <v>22</v>
      </c>
      <c r="F10" s="50" t="s">
        <v>30</v>
      </c>
      <c r="G10" s="50" t="s">
        <v>29</v>
      </c>
      <c r="H10" s="19">
        <f>32-C10</f>
        <v>23</v>
      </c>
      <c r="I10" s="20" t="s">
        <v>25</v>
      </c>
      <c r="J10" s="21">
        <f t="shared" ref="J10:J15" si="1">IFERROR(2^C10-2,"")</f>
        <v>510</v>
      </c>
    </row>
    <row r="11" spans="1:10" x14ac:dyDescent="0.25">
      <c r="A11" s="22" t="s">
        <v>3</v>
      </c>
      <c r="B11" s="23">
        <v>201</v>
      </c>
      <c r="C11" s="23">
        <f t="shared" si="0"/>
        <v>8</v>
      </c>
      <c r="D11" s="51" t="s">
        <v>26</v>
      </c>
      <c r="E11" s="51" t="s">
        <v>31</v>
      </c>
      <c r="F11" s="51" t="s">
        <v>33</v>
      </c>
      <c r="G11" s="51" t="s">
        <v>32</v>
      </c>
      <c r="H11" s="23">
        <f t="shared" ref="H11:H15" si="2">32-C11</f>
        <v>24</v>
      </c>
      <c r="I11" s="24" t="s">
        <v>34</v>
      </c>
      <c r="J11" s="25">
        <f t="shared" si="1"/>
        <v>254</v>
      </c>
    </row>
    <row r="12" spans="1:10" x14ac:dyDescent="0.25">
      <c r="A12" s="18" t="s">
        <v>0</v>
      </c>
      <c r="B12" s="19">
        <v>109</v>
      </c>
      <c r="C12" s="19">
        <f t="shared" si="0"/>
        <v>7</v>
      </c>
      <c r="D12" s="50" t="s">
        <v>35</v>
      </c>
      <c r="E12" s="50" t="s">
        <v>36</v>
      </c>
      <c r="F12" s="50" t="s">
        <v>39</v>
      </c>
      <c r="G12" s="50" t="s">
        <v>38</v>
      </c>
      <c r="H12" s="19">
        <f t="shared" si="2"/>
        <v>25</v>
      </c>
      <c r="I12" s="26">
        <v>255255255128</v>
      </c>
      <c r="J12" s="21">
        <f t="shared" si="1"/>
        <v>126</v>
      </c>
    </row>
    <row r="13" spans="1:10" x14ac:dyDescent="0.25">
      <c r="A13" s="22" t="s">
        <v>2</v>
      </c>
      <c r="B13" s="23">
        <v>49</v>
      </c>
      <c r="C13" s="23">
        <f t="shared" si="0"/>
        <v>6</v>
      </c>
      <c r="D13" s="51" t="s">
        <v>37</v>
      </c>
      <c r="E13" s="51" t="s">
        <v>42</v>
      </c>
      <c r="F13" s="51" t="s">
        <v>41</v>
      </c>
      <c r="G13" s="51" t="s">
        <v>40</v>
      </c>
      <c r="H13" s="23">
        <f t="shared" si="2"/>
        <v>26</v>
      </c>
      <c r="I13" s="27">
        <v>255255255192</v>
      </c>
      <c r="J13" s="25">
        <f t="shared" si="1"/>
        <v>62</v>
      </c>
    </row>
    <row r="14" spans="1:10" x14ac:dyDescent="0.25">
      <c r="A14" s="18" t="s">
        <v>1</v>
      </c>
      <c r="B14" s="19">
        <v>19</v>
      </c>
      <c r="C14" s="19">
        <f t="shared" si="0"/>
        <v>5</v>
      </c>
      <c r="D14" s="50" t="s">
        <v>43</v>
      </c>
      <c r="E14" s="50" t="s">
        <v>44</v>
      </c>
      <c r="F14" s="50" t="s">
        <v>47</v>
      </c>
      <c r="G14" s="50" t="s">
        <v>46</v>
      </c>
      <c r="H14" s="19">
        <f t="shared" si="2"/>
        <v>27</v>
      </c>
      <c r="I14" s="26">
        <v>255255255224</v>
      </c>
      <c r="J14" s="21">
        <f t="shared" si="1"/>
        <v>30</v>
      </c>
    </row>
    <row r="15" spans="1:10" x14ac:dyDescent="0.25">
      <c r="A15" s="2" t="s">
        <v>5</v>
      </c>
      <c r="B15" s="3">
        <v>4</v>
      </c>
      <c r="C15" s="3">
        <f t="shared" si="0"/>
        <v>2</v>
      </c>
      <c r="D15" s="52" t="s">
        <v>45</v>
      </c>
      <c r="E15" s="52" t="s">
        <v>48</v>
      </c>
      <c r="F15" s="52" t="s">
        <v>49</v>
      </c>
      <c r="G15" s="52" t="s">
        <v>50</v>
      </c>
      <c r="H15" s="3">
        <f t="shared" si="2"/>
        <v>30</v>
      </c>
      <c r="I15" s="28">
        <v>255255255252</v>
      </c>
      <c r="J15" s="4">
        <f t="shared" si="1"/>
        <v>2</v>
      </c>
    </row>
    <row r="16" spans="1:10" x14ac:dyDescent="0.25">
      <c r="D16" s="1" t="s">
        <v>51</v>
      </c>
    </row>
    <row r="18" spans="1:13" ht="15.75" thickBot="1" x14ac:dyDescent="0.3">
      <c r="A18" s="7" t="s">
        <v>16</v>
      </c>
      <c r="B18" s="8" t="s">
        <v>10</v>
      </c>
      <c r="C18" s="8" t="s">
        <v>9</v>
      </c>
      <c r="D18" s="53" t="s">
        <v>21</v>
      </c>
      <c r="E18" s="53" t="s">
        <v>18</v>
      </c>
      <c r="F18" s="53" t="s">
        <v>19</v>
      </c>
      <c r="G18" s="53" t="s">
        <v>20</v>
      </c>
      <c r="H18" s="8" t="s">
        <v>23</v>
      </c>
      <c r="I18" s="8" t="s">
        <v>24</v>
      </c>
      <c r="J18" s="66" t="s">
        <v>8</v>
      </c>
      <c r="K18" s="70" t="s">
        <v>68</v>
      </c>
      <c r="L18" s="8" t="s">
        <v>21</v>
      </c>
      <c r="M18" s="8" t="s">
        <v>20</v>
      </c>
    </row>
    <row r="19" spans="1:13" ht="15.75" thickTop="1" x14ac:dyDescent="0.25">
      <c r="A19" s="9" t="s">
        <v>0</v>
      </c>
      <c r="B19" s="10">
        <v>109</v>
      </c>
      <c r="C19" s="10">
        <f t="shared" ref="C19:C24" si="3">IFERROR(ROUNDUP(LOG(B19,2),0),"")</f>
        <v>7</v>
      </c>
      <c r="D19" s="54" t="s">
        <v>17</v>
      </c>
      <c r="E19" s="54" t="s">
        <v>22</v>
      </c>
      <c r="F19" s="54" t="s">
        <v>52</v>
      </c>
      <c r="G19" s="54" t="s">
        <v>53</v>
      </c>
      <c r="H19" s="10">
        <f t="shared" ref="H19:H24" si="4">32-C19</f>
        <v>25</v>
      </c>
      <c r="I19" s="11">
        <v>255255255128</v>
      </c>
      <c r="J19" s="67">
        <f t="shared" ref="J19:J24" si="5">IFERROR(2^C19-2,"")</f>
        <v>126</v>
      </c>
      <c r="K19" s="71" t="s">
        <v>69</v>
      </c>
      <c r="L19" s="32" t="s">
        <v>69</v>
      </c>
      <c r="M19" s="32" t="s">
        <v>69</v>
      </c>
    </row>
    <row r="20" spans="1:13" x14ac:dyDescent="0.25">
      <c r="A20" s="12" t="s">
        <v>1</v>
      </c>
      <c r="B20" s="5">
        <v>19</v>
      </c>
      <c r="C20" s="5">
        <f t="shared" si="3"/>
        <v>5</v>
      </c>
      <c r="D20" s="55" t="s">
        <v>54</v>
      </c>
      <c r="E20" s="55" t="s">
        <v>55</v>
      </c>
      <c r="F20" s="55" t="s">
        <v>57</v>
      </c>
      <c r="G20" s="55" t="s">
        <v>58</v>
      </c>
      <c r="H20" s="5">
        <f t="shared" si="4"/>
        <v>27</v>
      </c>
      <c r="I20" s="13">
        <v>255255255224</v>
      </c>
      <c r="J20" s="68">
        <f t="shared" si="5"/>
        <v>30</v>
      </c>
      <c r="K20" s="71" t="s">
        <v>69</v>
      </c>
      <c r="L20" s="32" t="s">
        <v>69</v>
      </c>
      <c r="M20" s="32" t="s">
        <v>69</v>
      </c>
    </row>
    <row r="21" spans="1:13" x14ac:dyDescent="0.25">
      <c r="A21" s="14" t="s">
        <v>2</v>
      </c>
      <c r="B21" s="6">
        <v>49</v>
      </c>
      <c r="C21" s="6">
        <f t="shared" si="3"/>
        <v>6</v>
      </c>
      <c r="D21" s="73" t="s">
        <v>56</v>
      </c>
      <c r="E21" s="73" t="s">
        <v>62</v>
      </c>
      <c r="F21" s="73" t="s">
        <v>61</v>
      </c>
      <c r="G21" s="73" t="s">
        <v>60</v>
      </c>
      <c r="H21" s="74">
        <f t="shared" si="4"/>
        <v>26</v>
      </c>
      <c r="I21" s="75">
        <v>255255255192</v>
      </c>
      <c r="J21" s="76">
        <f t="shared" si="5"/>
        <v>62</v>
      </c>
      <c r="K21" s="77" t="s">
        <v>118</v>
      </c>
      <c r="L21" s="78" t="s">
        <v>54</v>
      </c>
      <c r="M21" s="79" t="s">
        <v>85</v>
      </c>
    </row>
    <row r="22" spans="1:13" x14ac:dyDescent="0.25">
      <c r="A22" s="12" t="s">
        <v>3</v>
      </c>
      <c r="B22" s="5">
        <v>201</v>
      </c>
      <c r="C22" s="5">
        <f t="shared" si="3"/>
        <v>8</v>
      </c>
      <c r="D22" s="56" t="s">
        <v>59</v>
      </c>
      <c r="E22" s="56" t="s">
        <v>64</v>
      </c>
      <c r="F22" s="56" t="s">
        <v>65</v>
      </c>
      <c r="G22" s="56" t="s">
        <v>66</v>
      </c>
      <c r="H22" s="33">
        <f t="shared" si="4"/>
        <v>24</v>
      </c>
      <c r="I22" s="34" t="s">
        <v>34</v>
      </c>
      <c r="J22" s="69">
        <f t="shared" si="5"/>
        <v>254</v>
      </c>
      <c r="K22" s="65" t="s">
        <v>119</v>
      </c>
      <c r="L22" s="33" t="s">
        <v>17</v>
      </c>
      <c r="M22" s="33" t="s">
        <v>86</v>
      </c>
    </row>
    <row r="23" spans="1:13" x14ac:dyDescent="0.25">
      <c r="A23" s="14" t="s">
        <v>4</v>
      </c>
      <c r="B23" s="6">
        <v>281</v>
      </c>
      <c r="C23" s="6">
        <f t="shared" si="3"/>
        <v>9</v>
      </c>
      <c r="D23" s="73" t="s">
        <v>63</v>
      </c>
      <c r="E23" s="73" t="s">
        <v>67</v>
      </c>
      <c r="F23" s="73" t="s">
        <v>47</v>
      </c>
      <c r="G23" s="73" t="s">
        <v>46</v>
      </c>
      <c r="H23" s="74">
        <f t="shared" si="4"/>
        <v>23</v>
      </c>
      <c r="I23" s="80" t="s">
        <v>25</v>
      </c>
      <c r="J23" s="76">
        <f t="shared" si="5"/>
        <v>510</v>
      </c>
      <c r="K23" s="77" t="s">
        <v>120</v>
      </c>
      <c r="L23" s="78" t="s">
        <v>17</v>
      </c>
      <c r="M23" s="79" t="s">
        <v>29</v>
      </c>
    </row>
    <row r="24" spans="1:13" x14ac:dyDescent="0.25">
      <c r="A24" s="12" t="s">
        <v>5</v>
      </c>
      <c r="B24" s="5">
        <v>4</v>
      </c>
      <c r="C24" s="5">
        <f t="shared" si="3"/>
        <v>2</v>
      </c>
      <c r="D24" s="55" t="s">
        <v>45</v>
      </c>
      <c r="E24" s="55" t="s">
        <v>48</v>
      </c>
      <c r="F24" s="55" t="s">
        <v>49</v>
      </c>
      <c r="G24" s="55" t="s">
        <v>50</v>
      </c>
      <c r="H24" s="5">
        <f t="shared" si="4"/>
        <v>30</v>
      </c>
      <c r="I24" s="13">
        <v>255255255252</v>
      </c>
      <c r="J24" s="68">
        <f t="shared" si="5"/>
        <v>2</v>
      </c>
      <c r="K24" s="72" t="s">
        <v>69</v>
      </c>
      <c r="L24" s="1" t="s">
        <v>69</v>
      </c>
      <c r="M24" s="1" t="s">
        <v>69</v>
      </c>
    </row>
    <row r="25" spans="1:13" x14ac:dyDescent="0.25">
      <c r="D25" s="1" t="s">
        <v>51</v>
      </c>
    </row>
    <row r="27" spans="1:13" ht="15.75" thickBot="1" x14ac:dyDescent="0.3">
      <c r="A27" s="35" t="s">
        <v>16</v>
      </c>
      <c r="B27" s="36" t="s">
        <v>10</v>
      </c>
      <c r="C27" s="36" t="s">
        <v>9</v>
      </c>
      <c r="D27" s="57" t="s">
        <v>21</v>
      </c>
      <c r="E27" s="57" t="s">
        <v>18</v>
      </c>
      <c r="F27" s="57" t="s">
        <v>19</v>
      </c>
      <c r="G27" s="57" t="s">
        <v>20</v>
      </c>
      <c r="H27" s="36" t="s">
        <v>23</v>
      </c>
      <c r="I27" s="36" t="s">
        <v>24</v>
      </c>
      <c r="J27" s="36" t="s">
        <v>8</v>
      </c>
    </row>
    <row r="28" spans="1:13" ht="15.75" thickTop="1" x14ac:dyDescent="0.25">
      <c r="A28" s="37" t="s">
        <v>0</v>
      </c>
      <c r="B28" s="38">
        <v>109</v>
      </c>
      <c r="C28" s="38">
        <f>IFERROR(ROUNDUP(LOG(B28,2),0),"")</f>
        <v>7</v>
      </c>
      <c r="D28" s="48" t="s">
        <v>17</v>
      </c>
      <c r="E28" s="48" t="s">
        <v>22</v>
      </c>
      <c r="F28" s="48" t="s">
        <v>52</v>
      </c>
      <c r="G28" s="48" t="s">
        <v>53</v>
      </c>
      <c r="H28" s="38">
        <f>32-C28</f>
        <v>25</v>
      </c>
      <c r="I28" s="39">
        <v>255255255128</v>
      </c>
      <c r="J28" s="38">
        <f>IFERROR(2^C28-2,"")</f>
        <v>126</v>
      </c>
    </row>
    <row r="29" spans="1:13" x14ac:dyDescent="0.25">
      <c r="A29" s="40" t="s">
        <v>1</v>
      </c>
      <c r="B29" s="41">
        <v>19</v>
      </c>
      <c r="C29" s="41">
        <f>IFERROR(ROUNDUP(LOG(B29,2),0),"")</f>
        <v>5</v>
      </c>
      <c r="D29" s="45" t="s">
        <v>54</v>
      </c>
      <c r="E29" s="45" t="s">
        <v>55</v>
      </c>
      <c r="F29" s="45" t="s">
        <v>57</v>
      </c>
      <c r="G29" s="45" t="s">
        <v>58</v>
      </c>
      <c r="H29" s="41">
        <f>32-C29</f>
        <v>27</v>
      </c>
      <c r="I29" s="42">
        <v>255255255224</v>
      </c>
      <c r="J29" s="41">
        <f>IFERROR(2^C29-2,"")</f>
        <v>30</v>
      </c>
    </row>
    <row r="30" spans="1:13" s="1" customFormat="1" x14ac:dyDescent="0.25">
      <c r="A30" s="44" t="s">
        <v>69</v>
      </c>
      <c r="B30" s="45" t="s">
        <v>69</v>
      </c>
      <c r="C30" s="45" t="s">
        <v>69</v>
      </c>
      <c r="D30" s="45" t="s">
        <v>56</v>
      </c>
      <c r="E30" s="45" t="s">
        <v>69</v>
      </c>
      <c r="F30" s="45" t="s">
        <v>69</v>
      </c>
      <c r="G30" s="45" t="s">
        <v>82</v>
      </c>
      <c r="H30" s="46" t="s">
        <v>69</v>
      </c>
      <c r="I30" s="47" t="s">
        <v>69</v>
      </c>
      <c r="J30" s="45" t="s">
        <v>69</v>
      </c>
    </row>
    <row r="31" spans="1:13" x14ac:dyDescent="0.25">
      <c r="A31" s="40" t="s">
        <v>2</v>
      </c>
      <c r="B31" s="41">
        <v>49</v>
      </c>
      <c r="C31" s="41">
        <f>IFERROR(ROUNDUP(LOG(B31,2),0),"")</f>
        <v>6</v>
      </c>
      <c r="D31" s="45" t="s">
        <v>85</v>
      </c>
      <c r="E31" s="45" t="s">
        <v>87</v>
      </c>
      <c r="F31" s="45" t="s">
        <v>88</v>
      </c>
      <c r="G31" s="45" t="s">
        <v>86</v>
      </c>
      <c r="H31" s="41">
        <f>32-C31</f>
        <v>26</v>
      </c>
      <c r="I31" s="42">
        <v>255255255192</v>
      </c>
      <c r="J31" s="41">
        <f>IFERROR(2^C31-2,"")</f>
        <v>62</v>
      </c>
    </row>
    <row r="32" spans="1:13" x14ac:dyDescent="0.25">
      <c r="A32" s="40" t="s">
        <v>3</v>
      </c>
      <c r="B32" s="41">
        <v>201</v>
      </c>
      <c r="C32" s="41">
        <f>IFERROR(ROUNDUP(LOG(B32,2),0),"")</f>
        <v>8</v>
      </c>
      <c r="D32" s="45" t="s">
        <v>27</v>
      </c>
      <c r="E32" s="45" t="s">
        <v>89</v>
      </c>
      <c r="F32" s="45" t="s">
        <v>30</v>
      </c>
      <c r="G32" s="45" t="s">
        <v>29</v>
      </c>
      <c r="H32" s="41">
        <f t="shared" ref="H32:H34" si="6">32-C32</f>
        <v>24</v>
      </c>
      <c r="I32" s="43" t="s">
        <v>34</v>
      </c>
      <c r="J32" s="41">
        <f>IFERROR(2^C32-2,"")</f>
        <v>254</v>
      </c>
    </row>
    <row r="33" spans="1:10" x14ac:dyDescent="0.25">
      <c r="A33" s="40" t="s">
        <v>4</v>
      </c>
      <c r="B33" s="41">
        <v>281</v>
      </c>
      <c r="C33" s="41">
        <f>IFERROR(ROUNDUP(LOG(B33,2),0),"")</f>
        <v>9</v>
      </c>
      <c r="D33" s="45" t="s">
        <v>26</v>
      </c>
      <c r="E33" s="45" t="s">
        <v>90</v>
      </c>
      <c r="F33" s="45" t="s">
        <v>92</v>
      </c>
      <c r="G33" s="45" t="s">
        <v>91</v>
      </c>
      <c r="H33" s="41">
        <f t="shared" si="6"/>
        <v>23</v>
      </c>
      <c r="I33" s="43" t="s">
        <v>25</v>
      </c>
      <c r="J33" s="41">
        <f>IFERROR(2^C33-2,"")</f>
        <v>510</v>
      </c>
    </row>
    <row r="34" spans="1:10" x14ac:dyDescent="0.25">
      <c r="A34" s="40" t="s">
        <v>5</v>
      </c>
      <c r="B34" s="41">
        <v>4</v>
      </c>
      <c r="C34" s="41">
        <f>IFERROR(ROUNDUP(LOG(B34,2),0),"")</f>
        <v>2</v>
      </c>
      <c r="D34" s="45" t="s">
        <v>28</v>
      </c>
      <c r="E34" s="45" t="s">
        <v>93</v>
      </c>
      <c r="F34" s="45" t="s">
        <v>94</v>
      </c>
      <c r="G34" s="45" t="s">
        <v>95</v>
      </c>
      <c r="H34" s="41">
        <f t="shared" si="6"/>
        <v>30</v>
      </c>
      <c r="I34" s="42">
        <v>255255255252</v>
      </c>
      <c r="J34" s="41">
        <f>IFERROR(2^C34-2,"")</f>
        <v>2</v>
      </c>
    </row>
    <row r="35" spans="1:10" x14ac:dyDescent="0.25">
      <c r="D35" s="1" t="s">
        <v>96</v>
      </c>
    </row>
  </sheetData>
  <sortState xmlns:xlrd2="http://schemas.microsoft.com/office/spreadsheetml/2017/richdata2" ref="A10:C15">
    <sortCondition descending="1" ref="B10:B15"/>
  </sortState>
  <mergeCells count="7">
    <mergeCell ref="B7:J7"/>
    <mergeCell ref="B6:J6"/>
    <mergeCell ref="B5:J5"/>
    <mergeCell ref="B4:J4"/>
    <mergeCell ref="B3:J3"/>
    <mergeCell ref="B2:J2"/>
    <mergeCell ref="B1:J1"/>
  </mergeCells>
  <phoneticPr fontId="2" type="noConversion"/>
  <pageMargins left="0.7" right="0.7" top="0.75" bottom="0.75" header="0.3" footer="0.3"/>
  <ignoredErrors>
    <ignoredError sqref="C30 H30:J30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293-7D44-4E6B-8050-D26E08939175}">
  <dimension ref="A1:F12"/>
  <sheetViews>
    <sheetView topLeftCell="A2" zoomScale="168" workbookViewId="0">
      <selection activeCell="D6" sqref="D6"/>
    </sheetView>
  </sheetViews>
  <sheetFormatPr baseColWidth="10" defaultRowHeight="15" x14ac:dyDescent="0.25"/>
  <cols>
    <col min="1" max="1" width="12.5703125" bestFit="1" customWidth="1"/>
    <col min="2" max="2" width="15.140625" bestFit="1" customWidth="1"/>
  </cols>
  <sheetData>
    <row r="1" spans="1:6" x14ac:dyDescent="0.25">
      <c r="A1" t="s">
        <v>70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 x14ac:dyDescent="0.25">
      <c r="A2" t="s">
        <v>71</v>
      </c>
      <c r="B2" s="1" t="s">
        <v>56</v>
      </c>
      <c r="C2" s="29" t="s">
        <v>80</v>
      </c>
      <c r="D2" s="29" t="s">
        <v>79</v>
      </c>
      <c r="E2" s="29" t="s">
        <v>79</v>
      </c>
      <c r="F2" s="29" t="s">
        <v>81</v>
      </c>
    </row>
    <row r="3" spans="1:6" x14ac:dyDescent="0.25">
      <c r="A3" t="s">
        <v>24</v>
      </c>
      <c r="B3" s="30">
        <v>255255255192</v>
      </c>
      <c r="C3" s="31" t="s">
        <v>78</v>
      </c>
      <c r="D3" s="31" t="s">
        <v>78</v>
      </c>
      <c r="E3" s="31" t="s">
        <v>78</v>
      </c>
      <c r="F3" s="29" t="s">
        <v>83</v>
      </c>
    </row>
    <row r="4" spans="1:6" x14ac:dyDescent="0.25">
      <c r="A4" t="s">
        <v>21</v>
      </c>
      <c r="B4" s="1" t="s">
        <v>54</v>
      </c>
      <c r="C4" s="29" t="s">
        <v>77</v>
      </c>
      <c r="D4" s="29" t="s">
        <v>79</v>
      </c>
      <c r="E4" s="29" t="s">
        <v>79</v>
      </c>
      <c r="F4" s="29" t="s">
        <v>84</v>
      </c>
    </row>
    <row r="5" spans="1:6" x14ac:dyDescent="0.25">
      <c r="A5" t="s">
        <v>20</v>
      </c>
      <c r="B5" s="1" t="s">
        <v>82</v>
      </c>
      <c r="C5" s="29" t="s">
        <v>77</v>
      </c>
      <c r="D5" s="29" t="s">
        <v>79</v>
      </c>
      <c r="E5" s="29" t="s">
        <v>79</v>
      </c>
      <c r="F5" s="1">
        <v>10111111</v>
      </c>
    </row>
    <row r="7" spans="1:6" x14ac:dyDescent="0.25">
      <c r="A7" t="s">
        <v>109</v>
      </c>
    </row>
    <row r="8" spans="1:6" x14ac:dyDescent="0.25">
      <c r="A8" t="s">
        <v>110</v>
      </c>
      <c r="B8">
        <v>23</v>
      </c>
      <c r="C8" s="60" t="s">
        <v>77</v>
      </c>
      <c r="D8" s="60" t="s">
        <v>79</v>
      </c>
      <c r="E8" s="29" t="s">
        <v>116</v>
      </c>
      <c r="F8" s="29" t="s">
        <v>79</v>
      </c>
    </row>
    <row r="9" spans="1:6" x14ac:dyDescent="0.25">
      <c r="A9" t="s">
        <v>111</v>
      </c>
      <c r="B9">
        <v>25</v>
      </c>
      <c r="C9" s="60" t="s">
        <v>77</v>
      </c>
      <c r="D9" s="60" t="s">
        <v>79</v>
      </c>
      <c r="E9" s="29" t="s">
        <v>117</v>
      </c>
      <c r="F9" s="29" t="s">
        <v>79</v>
      </c>
    </row>
    <row r="10" spans="1:6" x14ac:dyDescent="0.25">
      <c r="A10" t="s">
        <v>112</v>
      </c>
      <c r="B10">
        <v>26</v>
      </c>
      <c r="C10" s="60" t="s">
        <v>77</v>
      </c>
      <c r="D10" s="60" t="s">
        <v>79</v>
      </c>
      <c r="E10" s="29" t="s">
        <v>117</v>
      </c>
      <c r="F10" s="29" t="s">
        <v>114</v>
      </c>
    </row>
    <row r="11" spans="1:6" ht="15.75" thickBot="1" x14ac:dyDescent="0.3">
      <c r="A11" s="61" t="s">
        <v>113</v>
      </c>
      <c r="B11" s="61">
        <v>27</v>
      </c>
      <c r="C11" s="62" t="s">
        <v>77</v>
      </c>
      <c r="D11" s="62" t="s">
        <v>79</v>
      </c>
      <c r="E11" s="63" t="s">
        <v>117</v>
      </c>
      <c r="F11" s="63" t="s">
        <v>115</v>
      </c>
    </row>
    <row r="12" spans="1:6" ht="15.75" thickTop="1" x14ac:dyDescent="0.25">
      <c r="A12" t="s">
        <v>17</v>
      </c>
      <c r="B12">
        <v>22</v>
      </c>
      <c r="C12" s="60" t="s">
        <v>77</v>
      </c>
      <c r="D12" s="60" t="s">
        <v>79</v>
      </c>
      <c r="E12" s="29" t="s">
        <v>116</v>
      </c>
      <c r="F12" s="29" t="s">
        <v>79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Glosario</vt:lpstr>
      <vt:lpstr>sistemas</vt:lpstr>
      <vt:lpstr>VLSM</vt:lpstr>
      <vt:lpstr>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Racedo</dc:creator>
  <cp:lastModifiedBy>Cristian Racedo</cp:lastModifiedBy>
  <dcterms:created xsi:type="dcterms:W3CDTF">2026-05-07T22:07:45Z</dcterms:created>
  <dcterms:modified xsi:type="dcterms:W3CDTF">2026-05-22T02:11:50Z</dcterms:modified>
</cp:coreProperties>
</file>