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EducacionIT\Documents\office\Excel\xls-mj15\examples\"/>
    </mc:Choice>
  </mc:AlternateContent>
  <xr:revisionPtr revIDLastSave="0" documentId="13_ncr:1_{D025B27D-5CE9-4816-BA3A-86F9929ED8E1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Listas" sheetId="3" state="hidden" r:id="rId1"/>
    <sheet name="cliente" sheetId="2" r:id="rId2"/>
  </sheets>
  <definedNames>
    <definedName name="_xlnm._FilterDatabase" localSheetId="1" hidden="1">cliente!$A$1:$K$1006</definedName>
    <definedName name="largo">cliente!$N:$N</definedName>
    <definedName name="localidad">cliente!$F:$F</definedName>
    <definedName name="separador">cliente!$M:$M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05" i="2" l="1"/>
  <c r="K796" i="2"/>
  <c r="K592" i="2"/>
  <c r="K401" i="2"/>
  <c r="K210" i="2"/>
  <c r="K1006" i="2" s="1"/>
  <c r="G178" i="2"/>
  <c r="G354" i="2"/>
  <c r="G371" i="2"/>
  <c r="G483" i="2"/>
  <c r="G484" i="2"/>
  <c r="G498" i="2"/>
  <c r="G514" i="2"/>
  <c r="F135" i="2"/>
  <c r="F369" i="2"/>
  <c r="F370" i="2"/>
  <c r="F385" i="2"/>
  <c r="F451" i="2"/>
  <c r="F668" i="2"/>
  <c r="F932" i="2"/>
  <c r="F933" i="2"/>
  <c r="F934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2" i="2"/>
  <c r="M3" i="2"/>
  <c r="F3" i="2" s="1"/>
  <c r="M4" i="2"/>
  <c r="M5" i="2"/>
  <c r="M6" i="2"/>
  <c r="F6" i="2" s="1"/>
  <c r="M7" i="2"/>
  <c r="F7" i="2" s="1"/>
  <c r="M8" i="2"/>
  <c r="F8" i="2" s="1"/>
  <c r="M9" i="2"/>
  <c r="F9" i="2" s="1"/>
  <c r="M10" i="2"/>
  <c r="F10" i="2" s="1"/>
  <c r="M11" i="2"/>
  <c r="M12" i="2"/>
  <c r="M13" i="2"/>
  <c r="M14" i="2"/>
  <c r="M15" i="2"/>
  <c r="G15" i="2" s="1"/>
  <c r="M16" i="2"/>
  <c r="G16" i="2" s="1"/>
  <c r="M17" i="2"/>
  <c r="G17" i="2" s="1"/>
  <c r="M18" i="2"/>
  <c r="G18" i="2" s="1"/>
  <c r="M19" i="2"/>
  <c r="G19" i="2" s="1"/>
  <c r="M20" i="2"/>
  <c r="M21" i="2"/>
  <c r="M22" i="2"/>
  <c r="M23" i="2"/>
  <c r="F23" i="2" s="1"/>
  <c r="M24" i="2"/>
  <c r="F24" i="2" s="1"/>
  <c r="M25" i="2"/>
  <c r="F25" i="2" s="1"/>
  <c r="M26" i="2"/>
  <c r="F26" i="2" s="1"/>
  <c r="M27" i="2"/>
  <c r="M28" i="2"/>
  <c r="F28" i="2" s="1"/>
  <c r="M29" i="2"/>
  <c r="G29" i="2" s="1"/>
  <c r="M30" i="2"/>
  <c r="G30" i="2" s="1"/>
  <c r="M31" i="2"/>
  <c r="F31" i="2" s="1"/>
  <c r="M32" i="2"/>
  <c r="M33" i="2"/>
  <c r="M34" i="2"/>
  <c r="G34" i="2" s="1"/>
  <c r="M35" i="2"/>
  <c r="G35" i="2" s="1"/>
  <c r="M36" i="2"/>
  <c r="M37" i="2"/>
  <c r="M38" i="2"/>
  <c r="M39" i="2"/>
  <c r="M40" i="2"/>
  <c r="M41" i="2"/>
  <c r="M42" i="2"/>
  <c r="G42" i="2" s="1"/>
  <c r="M43" i="2"/>
  <c r="G43" i="2" s="1"/>
  <c r="M44" i="2"/>
  <c r="G44" i="2" s="1"/>
  <c r="M45" i="2"/>
  <c r="G45" i="2" s="1"/>
  <c r="M46" i="2"/>
  <c r="M47" i="2"/>
  <c r="F47" i="2" s="1"/>
  <c r="M48" i="2"/>
  <c r="F48" i="2" s="1"/>
  <c r="M49" i="2"/>
  <c r="F49" i="2" s="1"/>
  <c r="M50" i="2"/>
  <c r="M51" i="2"/>
  <c r="F51" i="2" s="1"/>
  <c r="M52" i="2"/>
  <c r="F52" i="2" s="1"/>
  <c r="M53" i="2"/>
  <c r="G53" i="2" s="1"/>
  <c r="M54" i="2"/>
  <c r="F54" i="2" s="1"/>
  <c r="M55" i="2"/>
  <c r="F55" i="2" s="1"/>
  <c r="M56" i="2"/>
  <c r="G56" i="2" s="1"/>
  <c r="M57" i="2"/>
  <c r="F57" i="2" s="1"/>
  <c r="M58" i="2"/>
  <c r="F58" i="2" s="1"/>
  <c r="M59" i="2"/>
  <c r="F59" i="2" s="1"/>
  <c r="M60" i="2"/>
  <c r="M61" i="2"/>
  <c r="G61" i="2" s="1"/>
  <c r="M62" i="2"/>
  <c r="M63" i="2"/>
  <c r="F63" i="2" s="1"/>
  <c r="M64" i="2"/>
  <c r="M65" i="2"/>
  <c r="F65" i="2" s="1"/>
  <c r="M66" i="2"/>
  <c r="F66" i="2" s="1"/>
  <c r="M67" i="2"/>
  <c r="G67" i="2" s="1"/>
  <c r="M68" i="2"/>
  <c r="M69" i="2"/>
  <c r="M70" i="2"/>
  <c r="F70" i="2" s="1"/>
  <c r="M71" i="2"/>
  <c r="F71" i="2" s="1"/>
  <c r="M72" i="2"/>
  <c r="F72" i="2" s="1"/>
  <c r="M73" i="2"/>
  <c r="F73" i="2" s="1"/>
  <c r="M74" i="2"/>
  <c r="F74" i="2" s="1"/>
  <c r="M75" i="2"/>
  <c r="M76" i="2"/>
  <c r="G76" i="2" s="1"/>
  <c r="M77" i="2"/>
  <c r="M78" i="2"/>
  <c r="F78" i="2" s="1"/>
  <c r="M79" i="2"/>
  <c r="G79" i="2" s="1"/>
  <c r="M80" i="2"/>
  <c r="F80" i="2" s="1"/>
  <c r="M81" i="2"/>
  <c r="F81" i="2" s="1"/>
  <c r="M82" i="2"/>
  <c r="F82" i="2" s="1"/>
  <c r="M83" i="2"/>
  <c r="G83" i="2" s="1"/>
  <c r="M84" i="2"/>
  <c r="M85" i="2"/>
  <c r="F85" i="2" s="1"/>
  <c r="M86" i="2"/>
  <c r="F86" i="2" s="1"/>
  <c r="M87" i="2"/>
  <c r="F87" i="2" s="1"/>
  <c r="M88" i="2"/>
  <c r="F88" i="2" s="1"/>
  <c r="M89" i="2"/>
  <c r="F89" i="2" s="1"/>
  <c r="M90" i="2"/>
  <c r="F90" i="2" s="1"/>
  <c r="M91" i="2"/>
  <c r="M92" i="2"/>
  <c r="M93" i="2"/>
  <c r="M94" i="2"/>
  <c r="F94" i="2" s="1"/>
  <c r="M95" i="2"/>
  <c r="G95" i="2" s="1"/>
  <c r="M96" i="2"/>
  <c r="M97" i="2"/>
  <c r="F97" i="2" s="1"/>
  <c r="M98" i="2"/>
  <c r="F98" i="2" s="1"/>
  <c r="M99" i="2"/>
  <c r="F99" i="2" s="1"/>
  <c r="M100" i="2"/>
  <c r="G100" i="2" s="1"/>
  <c r="M101" i="2"/>
  <c r="M102" i="2"/>
  <c r="F102" i="2" s="1"/>
  <c r="M103" i="2"/>
  <c r="G103" i="2" s="1"/>
  <c r="M104" i="2"/>
  <c r="M105" i="2"/>
  <c r="G105" i="2" s="1"/>
  <c r="M106" i="2"/>
  <c r="G106" i="2" s="1"/>
  <c r="M107" i="2"/>
  <c r="G107" i="2" s="1"/>
  <c r="M108" i="2"/>
  <c r="F108" i="2" s="1"/>
  <c r="M109" i="2"/>
  <c r="M110" i="2"/>
  <c r="F110" i="2" s="1"/>
  <c r="M111" i="2"/>
  <c r="F111" i="2" s="1"/>
  <c r="M112" i="2"/>
  <c r="M113" i="2"/>
  <c r="F113" i="2" s="1"/>
  <c r="M114" i="2"/>
  <c r="M115" i="2"/>
  <c r="M116" i="2"/>
  <c r="M117" i="2"/>
  <c r="M118" i="2"/>
  <c r="M119" i="2"/>
  <c r="M120" i="2"/>
  <c r="F120" i="2" s="1"/>
  <c r="M121" i="2"/>
  <c r="F121" i="2" s="1"/>
  <c r="M122" i="2"/>
  <c r="F122" i="2" s="1"/>
  <c r="M123" i="2"/>
  <c r="F123" i="2" s="1"/>
  <c r="M124" i="2"/>
  <c r="M125" i="2"/>
  <c r="M126" i="2"/>
  <c r="M127" i="2"/>
  <c r="F127" i="2" s="1"/>
  <c r="M128" i="2"/>
  <c r="M129" i="2"/>
  <c r="F129" i="2" s="1"/>
  <c r="M130" i="2"/>
  <c r="F130" i="2" s="1"/>
  <c r="M131" i="2"/>
  <c r="M132" i="2"/>
  <c r="M133" i="2"/>
  <c r="M134" i="2"/>
  <c r="M135" i="2"/>
  <c r="M136" i="2"/>
  <c r="G136" i="2" s="1"/>
  <c r="M137" i="2"/>
  <c r="F137" i="2" s="1"/>
  <c r="M138" i="2"/>
  <c r="F138" i="2" s="1"/>
  <c r="M139" i="2"/>
  <c r="M140" i="2"/>
  <c r="G140" i="2" s="1"/>
  <c r="M141" i="2"/>
  <c r="G141" i="2" s="1"/>
  <c r="M142" i="2"/>
  <c r="F142" i="2" s="1"/>
  <c r="M143" i="2"/>
  <c r="F143" i="2" s="1"/>
  <c r="M144" i="2"/>
  <c r="M145" i="2"/>
  <c r="F145" i="2" s="1"/>
  <c r="M146" i="2"/>
  <c r="F146" i="2" s="1"/>
  <c r="M147" i="2"/>
  <c r="F147" i="2" s="1"/>
  <c r="M148" i="2"/>
  <c r="F148" i="2" s="1"/>
  <c r="M149" i="2"/>
  <c r="M150" i="2"/>
  <c r="F150" i="2" s="1"/>
  <c r="M151" i="2"/>
  <c r="M152" i="2"/>
  <c r="G152" i="2" s="1"/>
  <c r="M153" i="2"/>
  <c r="G153" i="2" s="1"/>
  <c r="M154" i="2"/>
  <c r="M155" i="2"/>
  <c r="G155" i="2" s="1"/>
  <c r="M156" i="2"/>
  <c r="G156" i="2" s="1"/>
  <c r="M157" i="2"/>
  <c r="G157" i="2" s="1"/>
  <c r="M158" i="2"/>
  <c r="M159" i="2"/>
  <c r="F159" i="2" s="1"/>
  <c r="M160" i="2"/>
  <c r="F160" i="2" s="1"/>
  <c r="M161" i="2"/>
  <c r="F161" i="2" s="1"/>
  <c r="M162" i="2"/>
  <c r="G162" i="2" s="1"/>
  <c r="M163" i="2"/>
  <c r="G163" i="2" s="1"/>
  <c r="M164" i="2"/>
  <c r="M165" i="2"/>
  <c r="F165" i="2" s="1"/>
  <c r="M166" i="2"/>
  <c r="F166" i="2" s="1"/>
  <c r="M167" i="2"/>
  <c r="F167" i="2" s="1"/>
  <c r="M168" i="2"/>
  <c r="M169" i="2"/>
  <c r="G169" i="2" s="1"/>
  <c r="M170" i="2"/>
  <c r="F170" i="2" s="1"/>
  <c r="M171" i="2"/>
  <c r="G171" i="2" s="1"/>
  <c r="M172" i="2"/>
  <c r="F172" i="2" s="1"/>
  <c r="M173" i="2"/>
  <c r="M174" i="2"/>
  <c r="M175" i="2"/>
  <c r="G175" i="2" s="1"/>
  <c r="M176" i="2"/>
  <c r="F176" i="2" s="1"/>
  <c r="M177" i="2"/>
  <c r="F177" i="2" s="1"/>
  <c r="M178" i="2"/>
  <c r="F178" i="2" s="1"/>
  <c r="M179" i="2"/>
  <c r="F179" i="2" s="1"/>
  <c r="M180" i="2"/>
  <c r="G180" i="2" s="1"/>
  <c r="M181" i="2"/>
  <c r="G181" i="2" s="1"/>
  <c r="M182" i="2"/>
  <c r="F182" i="2" s="1"/>
  <c r="M183" i="2"/>
  <c r="G183" i="2" s="1"/>
  <c r="M184" i="2"/>
  <c r="G184" i="2" s="1"/>
  <c r="M185" i="2"/>
  <c r="F185" i="2" s="1"/>
  <c r="M186" i="2"/>
  <c r="G186" i="2" s="1"/>
  <c r="M187" i="2"/>
  <c r="M188" i="2"/>
  <c r="F188" i="2" s="1"/>
  <c r="M189" i="2"/>
  <c r="M190" i="2"/>
  <c r="M191" i="2"/>
  <c r="F191" i="2" s="1"/>
  <c r="M192" i="2"/>
  <c r="M193" i="2"/>
  <c r="M194" i="2"/>
  <c r="M195" i="2"/>
  <c r="F195" i="2" s="1"/>
  <c r="M196" i="2"/>
  <c r="M197" i="2"/>
  <c r="G197" i="2" s="1"/>
  <c r="M198" i="2"/>
  <c r="F198" i="2" s="1"/>
  <c r="M199" i="2"/>
  <c r="G199" i="2" s="1"/>
  <c r="M200" i="2"/>
  <c r="M201" i="2"/>
  <c r="F201" i="2" s="1"/>
  <c r="M202" i="2"/>
  <c r="G202" i="2" s="1"/>
  <c r="M203" i="2"/>
  <c r="G203" i="2" s="1"/>
  <c r="M204" i="2"/>
  <c r="G204" i="2" s="1"/>
  <c r="M205" i="2"/>
  <c r="G205" i="2" s="1"/>
  <c r="M206" i="2"/>
  <c r="F206" i="2" s="1"/>
  <c r="M207" i="2"/>
  <c r="F207" i="2" s="1"/>
  <c r="M208" i="2"/>
  <c r="M209" i="2"/>
  <c r="M211" i="2"/>
  <c r="M212" i="2"/>
  <c r="M213" i="2"/>
  <c r="M214" i="2"/>
  <c r="M215" i="2"/>
  <c r="M216" i="2"/>
  <c r="M217" i="2"/>
  <c r="F217" i="2" s="1"/>
  <c r="M218" i="2"/>
  <c r="F218" i="2" s="1"/>
  <c r="M219" i="2"/>
  <c r="F219" i="2" s="1"/>
  <c r="M220" i="2"/>
  <c r="M221" i="2"/>
  <c r="M222" i="2"/>
  <c r="G222" i="2" s="1"/>
  <c r="M223" i="2"/>
  <c r="F223" i="2" s="1"/>
  <c r="M224" i="2"/>
  <c r="F224" i="2" s="1"/>
  <c r="M225" i="2"/>
  <c r="F225" i="2" s="1"/>
  <c r="M226" i="2"/>
  <c r="F226" i="2" s="1"/>
  <c r="M227" i="2"/>
  <c r="F227" i="2" s="1"/>
  <c r="M228" i="2"/>
  <c r="F228" i="2" s="1"/>
  <c r="M229" i="2"/>
  <c r="F229" i="2" s="1"/>
  <c r="M230" i="2"/>
  <c r="F230" i="2" s="1"/>
  <c r="M231" i="2"/>
  <c r="M232" i="2"/>
  <c r="M233" i="2"/>
  <c r="G233" i="2" s="1"/>
  <c r="M234" i="2"/>
  <c r="M235" i="2"/>
  <c r="F235" i="2" s="1"/>
  <c r="M236" i="2"/>
  <c r="M237" i="2"/>
  <c r="M238" i="2"/>
  <c r="G238" i="2" s="1"/>
  <c r="M239" i="2"/>
  <c r="M240" i="2"/>
  <c r="G240" i="2" s="1"/>
  <c r="M241" i="2"/>
  <c r="M242" i="2"/>
  <c r="F242" i="2" s="1"/>
  <c r="M243" i="2"/>
  <c r="F243" i="2" s="1"/>
  <c r="M244" i="2"/>
  <c r="G244" i="2" s="1"/>
  <c r="M245" i="2"/>
  <c r="F245" i="2" s="1"/>
  <c r="M246" i="2"/>
  <c r="F246" i="2" s="1"/>
  <c r="M247" i="2"/>
  <c r="F247" i="2" s="1"/>
  <c r="M248" i="2"/>
  <c r="F248" i="2" s="1"/>
  <c r="M249" i="2"/>
  <c r="F249" i="2" s="1"/>
  <c r="M250" i="2"/>
  <c r="M251" i="2"/>
  <c r="M252" i="2"/>
  <c r="M253" i="2"/>
  <c r="G253" i="2" s="1"/>
  <c r="M254" i="2"/>
  <c r="G254" i="2" s="1"/>
  <c r="M255" i="2"/>
  <c r="G255" i="2" s="1"/>
  <c r="M256" i="2"/>
  <c r="G256" i="2" s="1"/>
  <c r="M257" i="2"/>
  <c r="M258" i="2"/>
  <c r="F258" i="2" s="1"/>
  <c r="M259" i="2"/>
  <c r="F259" i="2" s="1"/>
  <c r="M260" i="2"/>
  <c r="M261" i="2"/>
  <c r="M262" i="2"/>
  <c r="M263" i="2"/>
  <c r="F263" i="2" s="1"/>
  <c r="M264" i="2"/>
  <c r="F264" i="2" s="1"/>
  <c r="M265" i="2"/>
  <c r="G265" i="2" s="1"/>
  <c r="M266" i="2"/>
  <c r="G266" i="2" s="1"/>
  <c r="M267" i="2"/>
  <c r="M268" i="2"/>
  <c r="F268" i="2" s="1"/>
  <c r="M269" i="2"/>
  <c r="M270" i="2"/>
  <c r="M271" i="2"/>
  <c r="M272" i="2"/>
  <c r="M273" i="2"/>
  <c r="F273" i="2" s="1"/>
  <c r="M274" i="2"/>
  <c r="G274" i="2" s="1"/>
  <c r="M275" i="2"/>
  <c r="G275" i="2" s="1"/>
  <c r="M276" i="2"/>
  <c r="F276" i="2" s="1"/>
  <c r="M277" i="2"/>
  <c r="M278" i="2"/>
  <c r="F278" i="2" s="1"/>
  <c r="M279" i="2"/>
  <c r="M280" i="2"/>
  <c r="M281" i="2"/>
  <c r="F281" i="2" s="1"/>
  <c r="M282" i="2"/>
  <c r="F282" i="2" s="1"/>
  <c r="M283" i="2"/>
  <c r="F283" i="2" s="1"/>
  <c r="M284" i="2"/>
  <c r="M285" i="2"/>
  <c r="F285" i="2" s="1"/>
  <c r="M286" i="2"/>
  <c r="M287" i="2"/>
  <c r="F287" i="2" s="1"/>
  <c r="M288" i="2"/>
  <c r="F288" i="2" s="1"/>
  <c r="M289" i="2"/>
  <c r="M290" i="2"/>
  <c r="M291" i="2"/>
  <c r="G291" i="2" s="1"/>
  <c r="M292" i="2"/>
  <c r="G292" i="2" s="1"/>
  <c r="M293" i="2"/>
  <c r="G293" i="2" s="1"/>
  <c r="M294" i="2"/>
  <c r="G294" i="2" s="1"/>
  <c r="M295" i="2"/>
  <c r="F295" i="2" s="1"/>
  <c r="M296" i="2"/>
  <c r="G296" i="2" s="1"/>
  <c r="M297" i="2"/>
  <c r="F297" i="2" s="1"/>
  <c r="M298" i="2"/>
  <c r="F298" i="2" s="1"/>
  <c r="M299" i="2"/>
  <c r="M300" i="2"/>
  <c r="G300" i="2" s="1"/>
  <c r="M301" i="2"/>
  <c r="F301" i="2" s="1"/>
  <c r="M302" i="2"/>
  <c r="M303" i="2"/>
  <c r="F303" i="2" s="1"/>
  <c r="M304" i="2"/>
  <c r="F304" i="2" s="1"/>
  <c r="M305" i="2"/>
  <c r="M306" i="2"/>
  <c r="M307" i="2"/>
  <c r="M308" i="2"/>
  <c r="M309" i="2"/>
  <c r="M310" i="2"/>
  <c r="M311" i="2"/>
  <c r="M312" i="2"/>
  <c r="G312" i="2" s="1"/>
  <c r="M313" i="2"/>
  <c r="F313" i="2" s="1"/>
  <c r="M314" i="2"/>
  <c r="F314" i="2" s="1"/>
  <c r="M315" i="2"/>
  <c r="F315" i="2" s="1"/>
  <c r="M316" i="2"/>
  <c r="M317" i="2"/>
  <c r="M318" i="2"/>
  <c r="M319" i="2"/>
  <c r="F319" i="2" s="1"/>
  <c r="M320" i="2"/>
  <c r="M321" i="2"/>
  <c r="M322" i="2"/>
  <c r="G322" i="2" s="1"/>
  <c r="M323" i="2"/>
  <c r="F323" i="2" s="1"/>
  <c r="M324" i="2"/>
  <c r="M325" i="2"/>
  <c r="M326" i="2"/>
  <c r="G326" i="2" s="1"/>
  <c r="M327" i="2"/>
  <c r="F327" i="2" s="1"/>
  <c r="M328" i="2"/>
  <c r="G328" i="2" s="1"/>
  <c r="M329" i="2"/>
  <c r="M330" i="2"/>
  <c r="G330" i="2" s="1"/>
  <c r="M331" i="2"/>
  <c r="F331" i="2" s="1"/>
  <c r="M332" i="2"/>
  <c r="M333" i="2"/>
  <c r="G333" i="2" s="1"/>
  <c r="M334" i="2"/>
  <c r="G334" i="2" s="1"/>
  <c r="M335" i="2"/>
  <c r="G335" i="2" s="1"/>
  <c r="M336" i="2"/>
  <c r="M337" i="2"/>
  <c r="F337" i="2" s="1"/>
  <c r="M338" i="2"/>
  <c r="G338" i="2" s="1"/>
  <c r="M339" i="2"/>
  <c r="G339" i="2" s="1"/>
  <c r="M340" i="2"/>
  <c r="F340" i="2" s="1"/>
  <c r="M341" i="2"/>
  <c r="M342" i="2"/>
  <c r="M343" i="2"/>
  <c r="F343" i="2" s="1"/>
  <c r="M344" i="2"/>
  <c r="F344" i="2" s="1"/>
  <c r="M345" i="2"/>
  <c r="F345" i="2" s="1"/>
  <c r="M346" i="2"/>
  <c r="F346" i="2" s="1"/>
  <c r="M347" i="2"/>
  <c r="F347" i="2" s="1"/>
  <c r="M348" i="2"/>
  <c r="M349" i="2"/>
  <c r="M350" i="2"/>
  <c r="F350" i="2" s="1"/>
  <c r="M351" i="2"/>
  <c r="M352" i="2"/>
  <c r="G352" i="2" s="1"/>
  <c r="M353" i="2"/>
  <c r="F353" i="2" s="1"/>
  <c r="M354" i="2"/>
  <c r="F354" i="2" s="1"/>
  <c r="M355" i="2"/>
  <c r="M356" i="2"/>
  <c r="G356" i="2" s="1"/>
  <c r="M357" i="2"/>
  <c r="M358" i="2"/>
  <c r="M359" i="2"/>
  <c r="M360" i="2"/>
  <c r="G360" i="2" s="1"/>
  <c r="M361" i="2"/>
  <c r="F361" i="2" s="1"/>
  <c r="M362" i="2"/>
  <c r="F362" i="2" s="1"/>
  <c r="M363" i="2"/>
  <c r="F363" i="2" s="1"/>
  <c r="M364" i="2"/>
  <c r="F364" i="2" s="1"/>
  <c r="M365" i="2"/>
  <c r="F365" i="2" s="1"/>
  <c r="M366" i="2"/>
  <c r="F366" i="2" s="1"/>
  <c r="M367" i="2"/>
  <c r="G367" i="2" s="1"/>
  <c r="M368" i="2"/>
  <c r="G368" i="2" s="1"/>
  <c r="M369" i="2"/>
  <c r="M370" i="2"/>
  <c r="G370" i="2" s="1"/>
  <c r="M371" i="2"/>
  <c r="F371" i="2" s="1"/>
  <c r="M372" i="2"/>
  <c r="G372" i="2" s="1"/>
  <c r="M373" i="2"/>
  <c r="F373" i="2" s="1"/>
  <c r="M374" i="2"/>
  <c r="M375" i="2"/>
  <c r="M376" i="2"/>
  <c r="F376" i="2" s="1"/>
  <c r="M377" i="2"/>
  <c r="M378" i="2"/>
  <c r="G378" i="2" s="1"/>
  <c r="M379" i="2"/>
  <c r="G379" i="2" s="1"/>
  <c r="M380" i="2"/>
  <c r="M381" i="2"/>
  <c r="F381" i="2" s="1"/>
  <c r="M382" i="2"/>
  <c r="M383" i="2"/>
  <c r="M384" i="2"/>
  <c r="M385" i="2"/>
  <c r="M386" i="2"/>
  <c r="F386" i="2" s="1"/>
  <c r="M387" i="2"/>
  <c r="G387" i="2" s="1"/>
  <c r="M388" i="2"/>
  <c r="G388" i="2" s="1"/>
  <c r="M389" i="2"/>
  <c r="M390" i="2"/>
  <c r="F390" i="2" s="1"/>
  <c r="M391" i="2"/>
  <c r="M392" i="2"/>
  <c r="M393" i="2"/>
  <c r="F393" i="2" s="1"/>
  <c r="M394" i="2"/>
  <c r="F394" i="2" s="1"/>
  <c r="M395" i="2"/>
  <c r="F395" i="2" s="1"/>
  <c r="M396" i="2"/>
  <c r="M397" i="2"/>
  <c r="M398" i="2"/>
  <c r="M399" i="2"/>
  <c r="M400" i="2"/>
  <c r="F400" i="2" s="1"/>
  <c r="M402" i="2"/>
  <c r="F402" i="2" s="1"/>
  <c r="M403" i="2"/>
  <c r="G403" i="2" s="1"/>
  <c r="M404" i="2"/>
  <c r="G404" i="2" s="1"/>
  <c r="M405" i="2"/>
  <c r="G405" i="2" s="1"/>
  <c r="M406" i="2"/>
  <c r="M407" i="2"/>
  <c r="M408" i="2"/>
  <c r="M409" i="2"/>
  <c r="M410" i="2"/>
  <c r="G410" i="2" s="1"/>
  <c r="M411" i="2"/>
  <c r="F411" i="2" s="1"/>
  <c r="M412" i="2"/>
  <c r="F412" i="2" s="1"/>
  <c r="M413" i="2"/>
  <c r="F413" i="2" s="1"/>
  <c r="M414" i="2"/>
  <c r="F414" i="2" s="1"/>
  <c r="M415" i="2"/>
  <c r="G415" i="2" s="1"/>
  <c r="M416" i="2"/>
  <c r="F416" i="2" s="1"/>
  <c r="M417" i="2"/>
  <c r="F417" i="2" s="1"/>
  <c r="M418" i="2"/>
  <c r="F418" i="2" s="1"/>
  <c r="M419" i="2"/>
  <c r="F419" i="2" s="1"/>
  <c r="M420" i="2"/>
  <c r="F420" i="2" s="1"/>
  <c r="M421" i="2"/>
  <c r="F421" i="2" s="1"/>
  <c r="M422" i="2"/>
  <c r="F422" i="2" s="1"/>
  <c r="M423" i="2"/>
  <c r="F423" i="2" s="1"/>
  <c r="M424" i="2"/>
  <c r="F424" i="2" s="1"/>
  <c r="M425" i="2"/>
  <c r="F425" i="2" s="1"/>
  <c r="M426" i="2"/>
  <c r="M427" i="2"/>
  <c r="M428" i="2"/>
  <c r="M429" i="2"/>
  <c r="M430" i="2"/>
  <c r="M431" i="2"/>
  <c r="M432" i="2"/>
  <c r="M433" i="2"/>
  <c r="G433" i="2" s="1"/>
  <c r="M434" i="2"/>
  <c r="M435" i="2"/>
  <c r="F435" i="2" s="1"/>
  <c r="M436" i="2"/>
  <c r="F436" i="2" s="1"/>
  <c r="M437" i="2"/>
  <c r="F437" i="2" s="1"/>
  <c r="M438" i="2"/>
  <c r="F438" i="2" s="1"/>
  <c r="M439" i="2"/>
  <c r="F439" i="2" s="1"/>
  <c r="M440" i="2"/>
  <c r="F440" i="2" s="1"/>
  <c r="M441" i="2"/>
  <c r="F441" i="2" s="1"/>
  <c r="M442" i="2"/>
  <c r="F442" i="2" s="1"/>
  <c r="M443" i="2"/>
  <c r="G443" i="2" s="1"/>
  <c r="M444" i="2"/>
  <c r="G444" i="2" s="1"/>
  <c r="M445" i="2"/>
  <c r="F445" i="2" s="1"/>
  <c r="M446" i="2"/>
  <c r="M447" i="2"/>
  <c r="M448" i="2"/>
  <c r="M449" i="2"/>
  <c r="M450" i="2"/>
  <c r="M451" i="2"/>
  <c r="G451" i="2" s="1"/>
  <c r="M452" i="2"/>
  <c r="F452" i="2" s="1"/>
  <c r="M453" i="2"/>
  <c r="G453" i="2" s="1"/>
  <c r="M454" i="2"/>
  <c r="G454" i="2" s="1"/>
  <c r="M455" i="2"/>
  <c r="M456" i="2"/>
  <c r="M457" i="2"/>
  <c r="G457" i="2" s="1"/>
  <c r="M458" i="2"/>
  <c r="F458" i="2" s="1"/>
  <c r="M459" i="2"/>
  <c r="F459" i="2" s="1"/>
  <c r="M460" i="2"/>
  <c r="G460" i="2" s="1"/>
  <c r="M461" i="2"/>
  <c r="M462" i="2"/>
  <c r="F462" i="2" s="1"/>
  <c r="M463" i="2"/>
  <c r="M464" i="2"/>
  <c r="M465" i="2"/>
  <c r="G465" i="2" s="1"/>
  <c r="M466" i="2"/>
  <c r="M467" i="2"/>
  <c r="G467" i="2" s="1"/>
  <c r="M468" i="2"/>
  <c r="F468" i="2" s="1"/>
  <c r="M469" i="2"/>
  <c r="G469" i="2" s="1"/>
  <c r="M470" i="2"/>
  <c r="G470" i="2" s="1"/>
  <c r="M471" i="2"/>
  <c r="G471" i="2" s="1"/>
  <c r="M472" i="2"/>
  <c r="F472" i="2" s="1"/>
  <c r="M473" i="2"/>
  <c r="F473" i="2" s="1"/>
  <c r="M474" i="2"/>
  <c r="G474" i="2" s="1"/>
  <c r="M475" i="2"/>
  <c r="F475" i="2" s="1"/>
  <c r="M476" i="2"/>
  <c r="F476" i="2" s="1"/>
  <c r="M477" i="2"/>
  <c r="M478" i="2"/>
  <c r="M479" i="2"/>
  <c r="G479" i="2" s="1"/>
  <c r="M480" i="2"/>
  <c r="M481" i="2"/>
  <c r="G481" i="2" s="1"/>
  <c r="M482" i="2"/>
  <c r="M483" i="2"/>
  <c r="F483" i="2" s="1"/>
  <c r="M484" i="2"/>
  <c r="F484" i="2" s="1"/>
  <c r="M485" i="2"/>
  <c r="F485" i="2" s="1"/>
  <c r="M486" i="2"/>
  <c r="G486" i="2" s="1"/>
  <c r="M487" i="2"/>
  <c r="G487" i="2" s="1"/>
  <c r="M488" i="2"/>
  <c r="G488" i="2" s="1"/>
  <c r="M489" i="2"/>
  <c r="F489" i="2" s="1"/>
  <c r="M490" i="2"/>
  <c r="M491" i="2"/>
  <c r="F491" i="2" s="1"/>
  <c r="M492" i="2"/>
  <c r="G492" i="2" s="1"/>
  <c r="M493" i="2"/>
  <c r="F493" i="2" s="1"/>
  <c r="M494" i="2"/>
  <c r="M495" i="2"/>
  <c r="G495" i="2" s="1"/>
  <c r="M496" i="2"/>
  <c r="G496" i="2" s="1"/>
  <c r="M497" i="2"/>
  <c r="F497" i="2" s="1"/>
  <c r="M498" i="2"/>
  <c r="F498" i="2" s="1"/>
  <c r="M499" i="2"/>
  <c r="F499" i="2" s="1"/>
  <c r="M500" i="2"/>
  <c r="F500" i="2" s="1"/>
  <c r="M501" i="2"/>
  <c r="G501" i="2" s="1"/>
  <c r="M502" i="2"/>
  <c r="M503" i="2"/>
  <c r="G503" i="2" s="1"/>
  <c r="M504" i="2"/>
  <c r="M505" i="2"/>
  <c r="G505" i="2" s="1"/>
  <c r="M506" i="2"/>
  <c r="M507" i="2"/>
  <c r="M508" i="2"/>
  <c r="F508" i="2" s="1"/>
  <c r="M509" i="2"/>
  <c r="F509" i="2" s="1"/>
  <c r="M510" i="2"/>
  <c r="G510" i="2" s="1"/>
  <c r="M511" i="2"/>
  <c r="G511" i="2" s="1"/>
  <c r="M512" i="2"/>
  <c r="F512" i="2" s="1"/>
  <c r="M513" i="2"/>
  <c r="G513" i="2" s="1"/>
  <c r="M514" i="2"/>
  <c r="F514" i="2" s="1"/>
  <c r="M515" i="2"/>
  <c r="F515" i="2" s="1"/>
  <c r="M516" i="2"/>
  <c r="F516" i="2" s="1"/>
  <c r="M517" i="2"/>
  <c r="F517" i="2" s="1"/>
  <c r="M518" i="2"/>
  <c r="F518" i="2" s="1"/>
  <c r="M519" i="2"/>
  <c r="M520" i="2"/>
  <c r="G520" i="2" s="1"/>
  <c r="M521" i="2"/>
  <c r="G521" i="2" s="1"/>
  <c r="M522" i="2"/>
  <c r="M523" i="2"/>
  <c r="F523" i="2" s="1"/>
  <c r="M524" i="2"/>
  <c r="M525" i="2"/>
  <c r="M526" i="2"/>
  <c r="M527" i="2"/>
  <c r="M528" i="2"/>
  <c r="M529" i="2"/>
  <c r="G529" i="2" s="1"/>
  <c r="M530" i="2"/>
  <c r="G530" i="2" s="1"/>
  <c r="M531" i="2"/>
  <c r="F531" i="2" s="1"/>
  <c r="M532" i="2"/>
  <c r="G532" i="2" s="1"/>
  <c r="M533" i="2"/>
  <c r="G533" i="2" s="1"/>
  <c r="M534" i="2"/>
  <c r="M535" i="2"/>
  <c r="M536" i="2"/>
  <c r="F536" i="2" s="1"/>
  <c r="M537" i="2"/>
  <c r="F537" i="2" s="1"/>
  <c r="M538" i="2"/>
  <c r="M539" i="2"/>
  <c r="M540" i="2"/>
  <c r="M541" i="2"/>
  <c r="F541" i="2" s="1"/>
  <c r="M542" i="2"/>
  <c r="F542" i="2" s="1"/>
  <c r="M543" i="2"/>
  <c r="F543" i="2" s="1"/>
  <c r="M544" i="2"/>
  <c r="G544" i="2" s="1"/>
  <c r="M545" i="2"/>
  <c r="G545" i="2" s="1"/>
  <c r="M546" i="2"/>
  <c r="G546" i="2" s="1"/>
  <c r="M547" i="2"/>
  <c r="G547" i="2" s="1"/>
  <c r="M548" i="2"/>
  <c r="F548" i="2" s="1"/>
  <c r="M549" i="2"/>
  <c r="G549" i="2" s="1"/>
  <c r="M550" i="2"/>
  <c r="G550" i="2" s="1"/>
  <c r="M551" i="2"/>
  <c r="G551" i="2" s="1"/>
  <c r="M552" i="2"/>
  <c r="G552" i="2" s="1"/>
  <c r="M553" i="2"/>
  <c r="G553" i="2" s="1"/>
  <c r="M554" i="2"/>
  <c r="F554" i="2" s="1"/>
  <c r="M555" i="2"/>
  <c r="F555" i="2" s="1"/>
  <c r="M556" i="2"/>
  <c r="G556" i="2" s="1"/>
  <c r="M557" i="2"/>
  <c r="F557" i="2" s="1"/>
  <c r="M558" i="2"/>
  <c r="F558" i="2" s="1"/>
  <c r="M559" i="2"/>
  <c r="M560" i="2"/>
  <c r="M561" i="2"/>
  <c r="F561" i="2" s="1"/>
  <c r="M562" i="2"/>
  <c r="F562" i="2" s="1"/>
  <c r="M563" i="2"/>
  <c r="G563" i="2" s="1"/>
  <c r="M564" i="2"/>
  <c r="F564" i="2" s="1"/>
  <c r="M565" i="2"/>
  <c r="G565" i="2" s="1"/>
  <c r="M566" i="2"/>
  <c r="M567" i="2"/>
  <c r="M568" i="2"/>
  <c r="F568" i="2" s="1"/>
  <c r="M569" i="2"/>
  <c r="G569" i="2" s="1"/>
  <c r="M570" i="2"/>
  <c r="G570" i="2" s="1"/>
  <c r="M571" i="2"/>
  <c r="G571" i="2" s="1"/>
  <c r="M572" i="2"/>
  <c r="G572" i="2" s="1"/>
  <c r="M573" i="2"/>
  <c r="M574" i="2"/>
  <c r="F574" i="2" s="1"/>
  <c r="M575" i="2"/>
  <c r="M576" i="2"/>
  <c r="F576" i="2" s="1"/>
  <c r="M577" i="2"/>
  <c r="F577" i="2" s="1"/>
  <c r="M578" i="2"/>
  <c r="F578" i="2" s="1"/>
  <c r="M579" i="2"/>
  <c r="G579" i="2" s="1"/>
  <c r="M580" i="2"/>
  <c r="F580" i="2" s="1"/>
  <c r="M581" i="2"/>
  <c r="M582" i="2"/>
  <c r="F582" i="2" s="1"/>
  <c r="M583" i="2"/>
  <c r="G583" i="2" s="1"/>
  <c r="M584" i="2"/>
  <c r="G584" i="2" s="1"/>
  <c r="M585" i="2"/>
  <c r="G585" i="2" s="1"/>
  <c r="M586" i="2"/>
  <c r="M587" i="2"/>
  <c r="F587" i="2" s="1"/>
  <c r="M588" i="2"/>
  <c r="M589" i="2"/>
  <c r="F589" i="2" s="1"/>
  <c r="M590" i="2"/>
  <c r="G590" i="2" s="1"/>
  <c r="M591" i="2"/>
  <c r="F591" i="2" s="1"/>
  <c r="M593" i="2"/>
  <c r="M594" i="2"/>
  <c r="F594" i="2" s="1"/>
  <c r="M595" i="2"/>
  <c r="G595" i="2" s="1"/>
  <c r="M596" i="2"/>
  <c r="M597" i="2"/>
  <c r="M598" i="2"/>
  <c r="M599" i="2"/>
  <c r="G599" i="2" s="1"/>
  <c r="M600" i="2"/>
  <c r="M601" i="2"/>
  <c r="F601" i="2" s="1"/>
  <c r="M602" i="2"/>
  <c r="F602" i="2" s="1"/>
  <c r="M603" i="2"/>
  <c r="G603" i="2" s="1"/>
  <c r="M604" i="2"/>
  <c r="G604" i="2" s="1"/>
  <c r="M605" i="2"/>
  <c r="G605" i="2" s="1"/>
  <c r="M606" i="2"/>
  <c r="M607" i="2"/>
  <c r="F607" i="2" s="1"/>
  <c r="M608" i="2"/>
  <c r="M609" i="2"/>
  <c r="F609" i="2" s="1"/>
  <c r="M610" i="2"/>
  <c r="F610" i="2" s="1"/>
  <c r="M611" i="2"/>
  <c r="F611" i="2" s="1"/>
  <c r="M612" i="2"/>
  <c r="G612" i="2" s="1"/>
  <c r="M613" i="2"/>
  <c r="F613" i="2" s="1"/>
  <c r="M614" i="2"/>
  <c r="F614" i="2" s="1"/>
  <c r="M615" i="2"/>
  <c r="M616" i="2"/>
  <c r="M617" i="2"/>
  <c r="M618" i="2"/>
  <c r="F618" i="2" s="1"/>
  <c r="M619" i="2"/>
  <c r="M620" i="2"/>
  <c r="F620" i="2" s="1"/>
  <c r="M621" i="2"/>
  <c r="F621" i="2" s="1"/>
  <c r="M622" i="2"/>
  <c r="F622" i="2" s="1"/>
  <c r="M623" i="2"/>
  <c r="G623" i="2" s="1"/>
  <c r="M624" i="2"/>
  <c r="G624" i="2" s="1"/>
  <c r="M625" i="2"/>
  <c r="M626" i="2"/>
  <c r="M627" i="2"/>
  <c r="F627" i="2" s="1"/>
  <c r="M628" i="2"/>
  <c r="F628" i="2" s="1"/>
  <c r="M629" i="2"/>
  <c r="F629" i="2" s="1"/>
  <c r="M630" i="2"/>
  <c r="G630" i="2" s="1"/>
  <c r="M631" i="2"/>
  <c r="G631" i="2" s="1"/>
  <c r="M632" i="2"/>
  <c r="M633" i="2"/>
  <c r="G633" i="2" s="1"/>
  <c r="M634" i="2"/>
  <c r="F634" i="2" s="1"/>
  <c r="M635" i="2"/>
  <c r="F635" i="2" s="1"/>
  <c r="M636" i="2"/>
  <c r="M637" i="2"/>
  <c r="G637" i="2" s="1"/>
  <c r="M638" i="2"/>
  <c r="F638" i="2" s="1"/>
  <c r="M639" i="2"/>
  <c r="M640" i="2"/>
  <c r="M641" i="2"/>
  <c r="M642" i="2"/>
  <c r="M643" i="2"/>
  <c r="M644" i="2"/>
  <c r="M645" i="2"/>
  <c r="M646" i="2"/>
  <c r="G646" i="2" s="1"/>
  <c r="M647" i="2"/>
  <c r="M648" i="2"/>
  <c r="M649" i="2"/>
  <c r="G649" i="2" s="1"/>
  <c r="M650" i="2"/>
  <c r="G650" i="2" s="1"/>
  <c r="M651" i="2"/>
  <c r="F651" i="2" s="1"/>
  <c r="M652" i="2"/>
  <c r="G652" i="2" s="1"/>
  <c r="M653" i="2"/>
  <c r="M654" i="2"/>
  <c r="M655" i="2"/>
  <c r="M656" i="2"/>
  <c r="F656" i="2" s="1"/>
  <c r="M657" i="2"/>
  <c r="G657" i="2" s="1"/>
  <c r="M658" i="2"/>
  <c r="G658" i="2" s="1"/>
  <c r="M659" i="2"/>
  <c r="G659" i="2" s="1"/>
  <c r="M660" i="2"/>
  <c r="F660" i="2" s="1"/>
  <c r="M661" i="2"/>
  <c r="F661" i="2" s="1"/>
  <c r="M662" i="2"/>
  <c r="M663" i="2"/>
  <c r="M664" i="2"/>
  <c r="M665" i="2"/>
  <c r="M666" i="2"/>
  <c r="G666" i="2" s="1"/>
  <c r="M667" i="2"/>
  <c r="M668" i="2"/>
  <c r="G668" i="2" s="1"/>
  <c r="M669" i="2"/>
  <c r="F669" i="2" s="1"/>
  <c r="M670" i="2"/>
  <c r="M671" i="2"/>
  <c r="G671" i="2" s="1"/>
  <c r="M672" i="2"/>
  <c r="F672" i="2" s="1"/>
  <c r="M673" i="2"/>
  <c r="F673" i="2" s="1"/>
  <c r="M674" i="2"/>
  <c r="F674" i="2" s="1"/>
  <c r="M675" i="2"/>
  <c r="F675" i="2" s="1"/>
  <c r="M676" i="2"/>
  <c r="F676" i="2" s="1"/>
  <c r="M677" i="2"/>
  <c r="F677" i="2" s="1"/>
  <c r="M678" i="2"/>
  <c r="F678" i="2" s="1"/>
  <c r="M679" i="2"/>
  <c r="F679" i="2" s="1"/>
  <c r="M680" i="2"/>
  <c r="F680" i="2" s="1"/>
  <c r="M681" i="2"/>
  <c r="F681" i="2" s="1"/>
  <c r="M682" i="2"/>
  <c r="G682" i="2" s="1"/>
  <c r="M683" i="2"/>
  <c r="G683" i="2" s="1"/>
  <c r="M684" i="2"/>
  <c r="G684" i="2" s="1"/>
  <c r="M685" i="2"/>
  <c r="G685" i="2" s="1"/>
  <c r="M686" i="2"/>
  <c r="M687" i="2"/>
  <c r="M688" i="2"/>
  <c r="M689" i="2"/>
  <c r="M690" i="2"/>
  <c r="G690" i="2" s="1"/>
  <c r="M691" i="2"/>
  <c r="M692" i="2"/>
  <c r="M693" i="2"/>
  <c r="M694" i="2"/>
  <c r="F694" i="2" s="1"/>
  <c r="M695" i="2"/>
  <c r="F695" i="2" s="1"/>
  <c r="M696" i="2"/>
  <c r="F696" i="2" s="1"/>
  <c r="M697" i="2"/>
  <c r="F697" i="2" s="1"/>
  <c r="M698" i="2"/>
  <c r="G698" i="2" s="1"/>
  <c r="M699" i="2"/>
  <c r="F699" i="2" s="1"/>
  <c r="M700" i="2"/>
  <c r="F700" i="2" s="1"/>
  <c r="M701" i="2"/>
  <c r="M702" i="2"/>
  <c r="M703" i="2"/>
  <c r="M704" i="2"/>
  <c r="F704" i="2" s="1"/>
  <c r="M705" i="2"/>
  <c r="G705" i="2" s="1"/>
  <c r="M706" i="2"/>
  <c r="G706" i="2" s="1"/>
  <c r="M707" i="2"/>
  <c r="F707" i="2" s="1"/>
  <c r="M708" i="2"/>
  <c r="G708" i="2" s="1"/>
  <c r="M709" i="2"/>
  <c r="M710" i="2"/>
  <c r="F710" i="2" s="1"/>
  <c r="M711" i="2"/>
  <c r="F711" i="2" s="1"/>
  <c r="M712" i="2"/>
  <c r="M713" i="2"/>
  <c r="M714" i="2"/>
  <c r="M715" i="2"/>
  <c r="M716" i="2"/>
  <c r="G716" i="2" s="1"/>
  <c r="M717" i="2"/>
  <c r="F717" i="2" s="1"/>
  <c r="M718" i="2"/>
  <c r="M719" i="2"/>
  <c r="F719" i="2" s="1"/>
  <c r="M720" i="2"/>
  <c r="F720" i="2" s="1"/>
  <c r="M721" i="2"/>
  <c r="G721" i="2" s="1"/>
  <c r="M722" i="2"/>
  <c r="G722" i="2" s="1"/>
  <c r="M723" i="2"/>
  <c r="F723" i="2" s="1"/>
  <c r="M724" i="2"/>
  <c r="F724" i="2" s="1"/>
  <c r="M725" i="2"/>
  <c r="G725" i="2" s="1"/>
  <c r="M726" i="2"/>
  <c r="G726" i="2" s="1"/>
  <c r="M727" i="2"/>
  <c r="F727" i="2" s="1"/>
  <c r="M728" i="2"/>
  <c r="F728" i="2" s="1"/>
  <c r="M729" i="2"/>
  <c r="F729" i="2" s="1"/>
  <c r="M730" i="2"/>
  <c r="F730" i="2" s="1"/>
  <c r="M731" i="2"/>
  <c r="F731" i="2" s="1"/>
  <c r="M732" i="2"/>
  <c r="F732" i="2" s="1"/>
  <c r="M733" i="2"/>
  <c r="G733" i="2" s="1"/>
  <c r="M734" i="2"/>
  <c r="M735" i="2"/>
  <c r="M736" i="2"/>
  <c r="M737" i="2"/>
  <c r="M738" i="2"/>
  <c r="G738" i="2" s="1"/>
  <c r="M739" i="2"/>
  <c r="F739" i="2" s="1"/>
  <c r="M740" i="2"/>
  <c r="F740" i="2" s="1"/>
  <c r="M741" i="2"/>
  <c r="F741" i="2" s="1"/>
  <c r="M742" i="2"/>
  <c r="G742" i="2" s="1"/>
  <c r="M743" i="2"/>
  <c r="G743" i="2" s="1"/>
  <c r="M744" i="2"/>
  <c r="G744" i="2" s="1"/>
  <c r="M745" i="2"/>
  <c r="G745" i="2" s="1"/>
  <c r="M746" i="2"/>
  <c r="M747" i="2"/>
  <c r="F747" i="2" s="1"/>
  <c r="M748" i="2"/>
  <c r="F748" i="2" s="1"/>
  <c r="M749" i="2"/>
  <c r="F749" i="2" s="1"/>
  <c r="M750" i="2"/>
  <c r="F750" i="2" s="1"/>
  <c r="M751" i="2"/>
  <c r="G751" i="2" s="1"/>
  <c r="M752" i="2"/>
  <c r="F752" i="2" s="1"/>
  <c r="M753" i="2"/>
  <c r="G753" i="2" s="1"/>
  <c r="M754" i="2"/>
  <c r="F754" i="2" s="1"/>
  <c r="M755" i="2"/>
  <c r="F755" i="2" s="1"/>
  <c r="M756" i="2"/>
  <c r="F756" i="2" s="1"/>
  <c r="M757" i="2"/>
  <c r="G757" i="2" s="1"/>
  <c r="M758" i="2"/>
  <c r="F758" i="2" s="1"/>
  <c r="M759" i="2"/>
  <c r="F759" i="2" s="1"/>
  <c r="M760" i="2"/>
  <c r="G760" i="2" s="1"/>
  <c r="M761" i="2"/>
  <c r="M762" i="2"/>
  <c r="M763" i="2"/>
  <c r="M764" i="2"/>
  <c r="F764" i="2" s="1"/>
  <c r="M765" i="2"/>
  <c r="F765" i="2" s="1"/>
  <c r="M766" i="2"/>
  <c r="M767" i="2"/>
  <c r="M768" i="2"/>
  <c r="M769" i="2"/>
  <c r="M770" i="2"/>
  <c r="G770" i="2" s="1"/>
  <c r="M771" i="2"/>
  <c r="M772" i="2"/>
  <c r="F772" i="2" s="1"/>
  <c r="M773" i="2"/>
  <c r="F773" i="2" s="1"/>
  <c r="M774" i="2"/>
  <c r="G774" i="2" s="1"/>
  <c r="M775" i="2"/>
  <c r="M776" i="2"/>
  <c r="M777" i="2"/>
  <c r="F777" i="2" s="1"/>
  <c r="M778" i="2"/>
  <c r="G778" i="2" s="1"/>
  <c r="M779" i="2"/>
  <c r="G779" i="2" s="1"/>
  <c r="M780" i="2"/>
  <c r="F780" i="2" s="1"/>
  <c r="M781" i="2"/>
  <c r="F781" i="2" s="1"/>
  <c r="M782" i="2"/>
  <c r="F782" i="2" s="1"/>
  <c r="M783" i="2"/>
  <c r="F783" i="2" s="1"/>
  <c r="M784" i="2"/>
  <c r="G784" i="2" s="1"/>
  <c r="M785" i="2"/>
  <c r="G785" i="2" s="1"/>
  <c r="M786" i="2"/>
  <c r="M787" i="2"/>
  <c r="G787" i="2" s="1"/>
  <c r="M788" i="2"/>
  <c r="G788" i="2" s="1"/>
  <c r="M789" i="2"/>
  <c r="G789" i="2" s="1"/>
  <c r="M790" i="2"/>
  <c r="M791" i="2"/>
  <c r="M792" i="2"/>
  <c r="M793" i="2"/>
  <c r="F793" i="2" s="1"/>
  <c r="M794" i="2"/>
  <c r="M795" i="2"/>
  <c r="F795" i="2" s="1"/>
  <c r="M797" i="2"/>
  <c r="M798" i="2"/>
  <c r="F798" i="2" s="1"/>
  <c r="M799" i="2"/>
  <c r="M800" i="2"/>
  <c r="M801" i="2"/>
  <c r="M802" i="2"/>
  <c r="G802" i="2" s="1"/>
  <c r="M803" i="2"/>
  <c r="F803" i="2" s="1"/>
  <c r="M804" i="2"/>
  <c r="G804" i="2" s="1"/>
  <c r="M805" i="2"/>
  <c r="F805" i="2" s="1"/>
  <c r="M806" i="2"/>
  <c r="F806" i="2" s="1"/>
  <c r="M807" i="2"/>
  <c r="F807" i="2" s="1"/>
  <c r="M808" i="2"/>
  <c r="F808" i="2" s="1"/>
  <c r="M809" i="2"/>
  <c r="F809" i="2" s="1"/>
  <c r="M810" i="2"/>
  <c r="M811" i="2"/>
  <c r="M812" i="2"/>
  <c r="M813" i="2"/>
  <c r="F813" i="2" s="1"/>
  <c r="M814" i="2"/>
  <c r="F814" i="2" s="1"/>
  <c r="M815" i="2"/>
  <c r="F815" i="2" s="1"/>
  <c r="M816" i="2"/>
  <c r="F816" i="2" s="1"/>
  <c r="M817" i="2"/>
  <c r="M818" i="2"/>
  <c r="F818" i="2" s="1"/>
  <c r="M819" i="2"/>
  <c r="G819" i="2" s="1"/>
  <c r="M820" i="2"/>
  <c r="M821" i="2"/>
  <c r="G821" i="2" s="1"/>
  <c r="M822" i="2"/>
  <c r="G822" i="2" s="1"/>
  <c r="M823" i="2"/>
  <c r="G823" i="2" s="1"/>
  <c r="M824" i="2"/>
  <c r="F824" i="2" s="1"/>
  <c r="M825" i="2"/>
  <c r="F825" i="2" s="1"/>
  <c r="M826" i="2"/>
  <c r="F826" i="2" s="1"/>
  <c r="M827" i="2"/>
  <c r="F827" i="2" s="1"/>
  <c r="M828" i="2"/>
  <c r="F828" i="2" s="1"/>
  <c r="M829" i="2"/>
  <c r="F829" i="2" s="1"/>
  <c r="M830" i="2"/>
  <c r="F830" i="2" s="1"/>
  <c r="M831" i="2"/>
  <c r="F831" i="2" s="1"/>
  <c r="M832" i="2"/>
  <c r="M833" i="2"/>
  <c r="M834" i="2"/>
  <c r="F834" i="2" s="1"/>
  <c r="M835" i="2"/>
  <c r="G835" i="2" s="1"/>
  <c r="M836" i="2"/>
  <c r="G836" i="2" s="1"/>
  <c r="M837" i="2"/>
  <c r="F837" i="2" s="1"/>
  <c r="M838" i="2"/>
  <c r="G838" i="2" s="1"/>
  <c r="M839" i="2"/>
  <c r="F839" i="2" s="1"/>
  <c r="M840" i="2"/>
  <c r="G840" i="2" s="1"/>
  <c r="M841" i="2"/>
  <c r="M842" i="2"/>
  <c r="F842" i="2" s="1"/>
  <c r="M843" i="2"/>
  <c r="G843" i="2" s="1"/>
  <c r="M844" i="2"/>
  <c r="M845" i="2"/>
  <c r="M846" i="2"/>
  <c r="G846" i="2" s="1"/>
  <c r="M847" i="2"/>
  <c r="F847" i="2" s="1"/>
  <c r="M848" i="2"/>
  <c r="G848" i="2" s="1"/>
  <c r="M849" i="2"/>
  <c r="G849" i="2" s="1"/>
  <c r="M850" i="2"/>
  <c r="M851" i="2"/>
  <c r="F851" i="2" s="1"/>
  <c r="M852" i="2"/>
  <c r="M853" i="2"/>
  <c r="F853" i="2" s="1"/>
  <c r="M854" i="2"/>
  <c r="F854" i="2" s="1"/>
  <c r="M855" i="2"/>
  <c r="M856" i="2"/>
  <c r="G856" i="2" s="1"/>
  <c r="M857" i="2"/>
  <c r="G857" i="2" s="1"/>
  <c r="M858" i="2"/>
  <c r="M859" i="2"/>
  <c r="G859" i="2" s="1"/>
  <c r="M860" i="2"/>
  <c r="G860" i="2" s="1"/>
  <c r="M861" i="2"/>
  <c r="F861" i="2" s="1"/>
  <c r="M862" i="2"/>
  <c r="F862" i="2" s="1"/>
  <c r="M863" i="2"/>
  <c r="F863" i="2" s="1"/>
  <c r="M864" i="2"/>
  <c r="G864" i="2" s="1"/>
  <c r="M865" i="2"/>
  <c r="M866" i="2"/>
  <c r="F866" i="2" s="1"/>
  <c r="M867" i="2"/>
  <c r="F867" i="2" s="1"/>
  <c r="M868" i="2"/>
  <c r="F868" i="2" s="1"/>
  <c r="M869" i="2"/>
  <c r="G869" i="2" s="1"/>
  <c r="M870" i="2"/>
  <c r="F870" i="2" s="1"/>
  <c r="M871" i="2"/>
  <c r="F871" i="2" s="1"/>
  <c r="M872" i="2"/>
  <c r="M873" i="2"/>
  <c r="G873" i="2" s="1"/>
  <c r="M874" i="2"/>
  <c r="G874" i="2" s="1"/>
  <c r="M875" i="2"/>
  <c r="F875" i="2" s="1"/>
  <c r="M876" i="2"/>
  <c r="F876" i="2" s="1"/>
  <c r="M877" i="2"/>
  <c r="G877" i="2" s="1"/>
  <c r="M878" i="2"/>
  <c r="G878" i="2" s="1"/>
  <c r="M879" i="2"/>
  <c r="M880" i="2"/>
  <c r="G880" i="2" s="1"/>
  <c r="M881" i="2"/>
  <c r="G881" i="2" s="1"/>
  <c r="M882" i="2"/>
  <c r="M883" i="2"/>
  <c r="G883" i="2" s="1"/>
  <c r="M884" i="2"/>
  <c r="M885" i="2"/>
  <c r="M886" i="2"/>
  <c r="F886" i="2" s="1"/>
  <c r="M887" i="2"/>
  <c r="G887" i="2" s="1"/>
  <c r="M888" i="2"/>
  <c r="M889" i="2"/>
  <c r="M890" i="2"/>
  <c r="M891" i="2"/>
  <c r="F891" i="2" s="1"/>
  <c r="M892" i="2"/>
  <c r="G892" i="2" s="1"/>
  <c r="M893" i="2"/>
  <c r="M894" i="2"/>
  <c r="M895" i="2"/>
  <c r="F895" i="2" s="1"/>
  <c r="M896" i="2"/>
  <c r="M897" i="2"/>
  <c r="M898" i="2"/>
  <c r="F898" i="2" s="1"/>
  <c r="M899" i="2"/>
  <c r="M900" i="2"/>
  <c r="M901" i="2"/>
  <c r="F901" i="2" s="1"/>
  <c r="M902" i="2"/>
  <c r="F902" i="2" s="1"/>
  <c r="M903" i="2"/>
  <c r="F903" i="2" s="1"/>
  <c r="M904" i="2"/>
  <c r="M905" i="2"/>
  <c r="G905" i="2" s="1"/>
  <c r="M906" i="2"/>
  <c r="F906" i="2" s="1"/>
  <c r="M907" i="2"/>
  <c r="G907" i="2" s="1"/>
  <c r="M908" i="2"/>
  <c r="M909" i="2"/>
  <c r="F909" i="2" s="1"/>
  <c r="M910" i="2"/>
  <c r="F910" i="2" s="1"/>
  <c r="M911" i="2"/>
  <c r="F911" i="2" s="1"/>
  <c r="M912" i="2"/>
  <c r="F912" i="2" s="1"/>
  <c r="M913" i="2"/>
  <c r="F913" i="2" s="1"/>
  <c r="M914" i="2"/>
  <c r="F914" i="2" s="1"/>
  <c r="M915" i="2"/>
  <c r="G915" i="2" s="1"/>
  <c r="M916" i="2"/>
  <c r="G916" i="2" s="1"/>
  <c r="M917" i="2"/>
  <c r="G917" i="2" s="1"/>
  <c r="M918" i="2"/>
  <c r="M919" i="2"/>
  <c r="M920" i="2"/>
  <c r="F920" i="2" s="1"/>
  <c r="M921" i="2"/>
  <c r="G921" i="2" s="1"/>
  <c r="M922" i="2"/>
  <c r="F922" i="2" s="1"/>
  <c r="M923" i="2"/>
  <c r="G923" i="2" s="1"/>
  <c r="M924" i="2"/>
  <c r="G924" i="2" s="1"/>
  <c r="M925" i="2"/>
  <c r="F925" i="2" s="1"/>
  <c r="M926" i="2"/>
  <c r="G926" i="2" s="1"/>
  <c r="M927" i="2"/>
  <c r="F927" i="2" s="1"/>
  <c r="M928" i="2"/>
  <c r="F928" i="2" s="1"/>
  <c r="M929" i="2"/>
  <c r="G929" i="2" s="1"/>
  <c r="M930" i="2"/>
  <c r="M931" i="2"/>
  <c r="M932" i="2"/>
  <c r="G932" i="2" s="1"/>
  <c r="M933" i="2"/>
  <c r="M934" i="2"/>
  <c r="G934" i="2" s="1"/>
  <c r="M935" i="2"/>
  <c r="F935" i="2" s="1"/>
  <c r="M936" i="2"/>
  <c r="M937" i="2"/>
  <c r="G937" i="2" s="1"/>
  <c r="M938" i="2"/>
  <c r="G938" i="2" s="1"/>
  <c r="M939" i="2"/>
  <c r="G939" i="2" s="1"/>
  <c r="M940" i="2"/>
  <c r="M941" i="2"/>
  <c r="M942" i="2"/>
  <c r="M943" i="2"/>
  <c r="M944" i="2"/>
  <c r="F944" i="2" s="1"/>
  <c r="M945" i="2"/>
  <c r="M946" i="2"/>
  <c r="M947" i="2"/>
  <c r="F947" i="2" s="1"/>
  <c r="M948" i="2"/>
  <c r="F948" i="2" s="1"/>
  <c r="M949" i="2"/>
  <c r="F949" i="2" s="1"/>
  <c r="M950" i="2"/>
  <c r="F950" i="2" s="1"/>
  <c r="M951" i="2"/>
  <c r="F951" i="2" s="1"/>
  <c r="M952" i="2"/>
  <c r="M953" i="2"/>
  <c r="M954" i="2"/>
  <c r="G954" i="2" s="1"/>
  <c r="M955" i="2"/>
  <c r="M956" i="2"/>
  <c r="G956" i="2" s="1"/>
  <c r="M957" i="2"/>
  <c r="F957" i="2" s="1"/>
  <c r="M958" i="2"/>
  <c r="G958" i="2" s="1"/>
  <c r="M959" i="2"/>
  <c r="M960" i="2"/>
  <c r="M961" i="2"/>
  <c r="F961" i="2" s="1"/>
  <c r="M962" i="2"/>
  <c r="G962" i="2" s="1"/>
  <c r="M963" i="2"/>
  <c r="G963" i="2" s="1"/>
  <c r="M964" i="2"/>
  <c r="F964" i="2" s="1"/>
  <c r="M965" i="2"/>
  <c r="F965" i="2" s="1"/>
  <c r="M966" i="2"/>
  <c r="F966" i="2" s="1"/>
  <c r="M967" i="2"/>
  <c r="F967" i="2" s="1"/>
  <c r="M968" i="2"/>
  <c r="F968" i="2" s="1"/>
  <c r="M969" i="2"/>
  <c r="F969" i="2" s="1"/>
  <c r="M970" i="2"/>
  <c r="M971" i="2"/>
  <c r="G971" i="2" s="1"/>
  <c r="M972" i="2"/>
  <c r="F972" i="2" s="1"/>
  <c r="M973" i="2"/>
  <c r="F973" i="2" s="1"/>
  <c r="M974" i="2"/>
  <c r="F974" i="2" s="1"/>
  <c r="M975" i="2"/>
  <c r="M976" i="2"/>
  <c r="G976" i="2" s="1"/>
  <c r="M977" i="2"/>
  <c r="F977" i="2" s="1"/>
  <c r="M978" i="2"/>
  <c r="G978" i="2" s="1"/>
  <c r="M979" i="2"/>
  <c r="M980" i="2"/>
  <c r="F980" i="2" s="1"/>
  <c r="M981" i="2"/>
  <c r="F981" i="2" s="1"/>
  <c r="M982" i="2"/>
  <c r="G982" i="2" s="1"/>
  <c r="M983" i="2"/>
  <c r="M984" i="2"/>
  <c r="F984" i="2" s="1"/>
  <c r="M985" i="2"/>
  <c r="F985" i="2" s="1"/>
  <c r="M986" i="2"/>
  <c r="F986" i="2" s="1"/>
  <c r="M987" i="2"/>
  <c r="F987" i="2" s="1"/>
  <c r="M988" i="2"/>
  <c r="F988" i="2" s="1"/>
  <c r="M989" i="2"/>
  <c r="F989" i="2" s="1"/>
  <c r="M990" i="2"/>
  <c r="F990" i="2" s="1"/>
  <c r="M991" i="2"/>
  <c r="M992" i="2"/>
  <c r="G992" i="2" s="1"/>
  <c r="M993" i="2"/>
  <c r="M994" i="2"/>
  <c r="F994" i="2" s="1"/>
  <c r="M995" i="2"/>
  <c r="F995" i="2" s="1"/>
  <c r="M996" i="2"/>
  <c r="G996" i="2" s="1"/>
  <c r="M997" i="2"/>
  <c r="G997" i="2" s="1"/>
  <c r="M998" i="2"/>
  <c r="F998" i="2" s="1"/>
  <c r="M999" i="2"/>
  <c r="F999" i="2" s="1"/>
  <c r="M1000" i="2"/>
  <c r="M1001" i="2"/>
  <c r="M1002" i="2"/>
  <c r="G1002" i="2" s="1"/>
  <c r="M1003" i="2"/>
  <c r="M1004" i="2"/>
  <c r="M2" i="2"/>
  <c r="G2" i="2" s="1"/>
  <c r="G177" i="2" l="1"/>
  <c r="F659" i="2"/>
  <c r="G176" i="2"/>
  <c r="F633" i="2"/>
  <c r="G146" i="2"/>
  <c r="F789" i="2"/>
  <c r="F787" i="2"/>
  <c r="G299" i="2"/>
  <c r="G154" i="2"/>
  <c r="G965" i="2"/>
  <c r="G949" i="2"/>
  <c r="G772" i="2"/>
  <c r="G660" i="2"/>
  <c r="G628" i="2"/>
  <c r="G515" i="2"/>
  <c r="G499" i="2"/>
  <c r="G145" i="2"/>
  <c r="G845" i="2"/>
  <c r="G636" i="2"/>
  <c r="G329" i="2"/>
  <c r="G853" i="2"/>
  <c r="F547" i="2"/>
  <c r="G837" i="2"/>
  <c r="F788" i="2"/>
  <c r="G161" i="2"/>
  <c r="G97" i="2"/>
  <c r="F997" i="2"/>
  <c r="F612" i="2"/>
  <c r="G901" i="2"/>
  <c r="G893" i="2"/>
  <c r="G797" i="2"/>
  <c r="G539" i="2"/>
  <c r="G250" i="2"/>
  <c r="G234" i="2"/>
  <c r="G611" i="2"/>
  <c r="G353" i="2"/>
  <c r="G160" i="2"/>
  <c r="F996" i="2"/>
  <c r="G886" i="2"/>
  <c r="G844" i="2"/>
  <c r="G667" i="2"/>
  <c r="G619" i="2"/>
  <c r="G586" i="2"/>
  <c r="G377" i="2"/>
  <c r="G200" i="2"/>
  <c r="G104" i="2"/>
  <c r="F982" i="2"/>
  <c r="F579" i="2"/>
  <c r="G854" i="2"/>
  <c r="F546" i="2"/>
  <c r="G707" i="2"/>
  <c r="G536" i="2"/>
  <c r="F836" i="2"/>
  <c r="G531" i="2"/>
  <c r="G523" i="2"/>
  <c r="G165" i="2"/>
  <c r="G72" i="2"/>
  <c r="G71" i="2"/>
  <c r="G70" i="2"/>
  <c r="G8" i="2"/>
  <c r="G7" i="2"/>
  <c r="F379" i="2"/>
  <c r="F778" i="2"/>
  <c r="G680" i="2"/>
  <c r="F757" i="2"/>
  <c r="F53" i="2"/>
  <c r="G677" i="2"/>
  <c r="G315" i="2"/>
  <c r="F917" i="2"/>
  <c r="F539" i="2"/>
  <c r="F338" i="2"/>
  <c r="F34" i="2"/>
  <c r="G675" i="2"/>
  <c r="F726" i="2"/>
  <c r="F18" i="2"/>
  <c r="G629" i="2"/>
  <c r="G882" i="2"/>
  <c r="G560" i="2"/>
  <c r="G432" i="2"/>
  <c r="F797" i="2"/>
  <c r="F378" i="2"/>
  <c r="F377" i="2"/>
  <c r="F56" i="2"/>
  <c r="G679" i="2"/>
  <c r="G933" i="2"/>
  <c r="F339" i="2"/>
  <c r="G676" i="2"/>
  <c r="G314" i="2"/>
  <c r="F916" i="2"/>
  <c r="F520" i="2"/>
  <c r="G313" i="2"/>
  <c r="G946" i="2"/>
  <c r="G480" i="2"/>
  <c r="G825" i="2"/>
  <c r="F874" i="2"/>
  <c r="F725" i="2"/>
  <c r="F291" i="2"/>
  <c r="F17" i="2"/>
  <c r="G627" i="2"/>
  <c r="G278" i="2"/>
  <c r="G824" i="2"/>
  <c r="G759" i="2"/>
  <c r="G245" i="2"/>
  <c r="F873" i="2"/>
  <c r="F275" i="2"/>
  <c r="F16" i="2"/>
  <c r="G960" i="2"/>
  <c r="G703" i="2"/>
  <c r="G639" i="2"/>
  <c r="G517" i="2"/>
  <c r="G421" i="2"/>
  <c r="G147" i="2"/>
  <c r="G99" i="2"/>
  <c r="F869" i="2"/>
  <c r="F503" i="2"/>
  <c r="F274" i="2"/>
  <c r="G910" i="2"/>
  <c r="G562" i="2"/>
  <c r="G242" i="2"/>
  <c r="G316" i="2"/>
  <c r="G252" i="2"/>
  <c r="G236" i="2"/>
  <c r="G139" i="2"/>
  <c r="G966" i="2"/>
  <c r="G950" i="2"/>
  <c r="G661" i="2"/>
  <c r="G613" i="2"/>
  <c r="G516" i="2"/>
  <c r="G452" i="2"/>
  <c r="G243" i="2"/>
  <c r="G98" i="2"/>
  <c r="G82" i="2"/>
  <c r="F1002" i="2"/>
  <c r="F838" i="2"/>
  <c r="G902" i="2"/>
  <c r="G537" i="2"/>
  <c r="G225" i="2"/>
  <c r="F878" i="2"/>
  <c r="F202" i="2"/>
  <c r="F877" i="2"/>
  <c r="F586" i="2"/>
  <c r="F186" i="2"/>
  <c r="G862" i="2"/>
  <c r="F585" i="2"/>
  <c r="G281" i="2"/>
  <c r="G909" i="2"/>
  <c r="F584" i="2"/>
  <c r="F460" i="2"/>
  <c r="F184" i="2"/>
  <c r="F583" i="2"/>
  <c r="F457" i="2"/>
  <c r="F183" i="2"/>
  <c r="F42" i="2"/>
  <c r="G621" i="2"/>
  <c r="F454" i="2"/>
  <c r="F181" i="2"/>
  <c r="G826" i="2"/>
  <c r="F328" i="2"/>
  <c r="G732" i="2"/>
  <c r="G420" i="2"/>
  <c r="F708" i="2"/>
  <c r="F563" i="2"/>
  <c r="F322" i="2"/>
  <c r="F162" i="2"/>
  <c r="G731" i="2"/>
  <c r="G601" i="2"/>
  <c r="G419" i="2"/>
  <c r="G201" i="2"/>
  <c r="F938" i="2"/>
  <c r="F822" i="2"/>
  <c r="F404" i="2"/>
  <c r="F299" i="2"/>
  <c r="G730" i="2"/>
  <c r="G418" i="2"/>
  <c r="G195" i="2"/>
  <c r="G925" i="2"/>
  <c r="F2" i="2"/>
  <c r="G298" i="2"/>
  <c r="G620" i="2"/>
  <c r="F329" i="2"/>
  <c r="F180" i="2"/>
  <c r="G749" i="2"/>
  <c r="G618" i="2"/>
  <c r="G422" i="2"/>
  <c r="G217" i="2"/>
  <c r="F937" i="2"/>
  <c r="F821" i="2"/>
  <c r="F549" i="2"/>
  <c r="F403" i="2"/>
  <c r="F296" i="2"/>
  <c r="F136" i="2"/>
  <c r="G578" i="2"/>
  <c r="G386" i="2"/>
  <c r="G179" i="2"/>
  <c r="G121" i="2"/>
  <c r="G73" i="2"/>
  <c r="G10" i="2"/>
  <c r="G9" i="2"/>
  <c r="F453" i="2"/>
  <c r="F292" i="2"/>
  <c r="G412" i="2"/>
  <c r="F636" i="2"/>
  <c r="F443" i="2"/>
  <c r="F105" i="2"/>
  <c r="F19" i="2"/>
  <c r="G813" i="2"/>
  <c r="G710" i="2"/>
  <c r="G508" i="2"/>
  <c r="F774" i="2"/>
  <c r="F716" i="2"/>
  <c r="F572" i="2"/>
  <c r="F372" i="2"/>
  <c r="F104" i="2"/>
  <c r="G798" i="2"/>
  <c r="G247" i="2"/>
  <c r="F619" i="2"/>
  <c r="F569" i="2"/>
  <c r="F471" i="2"/>
  <c r="F250" i="2"/>
  <c r="G875" i="2"/>
  <c r="G781" i="2"/>
  <c r="G678" i="2"/>
  <c r="G485" i="2"/>
  <c r="G362" i="2"/>
  <c r="G246" i="2"/>
  <c r="G148" i="2"/>
  <c r="G3" i="2"/>
  <c r="G999" i="2"/>
  <c r="G967" i="2"/>
  <c r="G951" i="2"/>
  <c r="G935" i="2"/>
  <c r="F779" i="2"/>
  <c r="G894" i="2"/>
  <c r="G653" i="2"/>
  <c r="G524" i="2"/>
  <c r="F637" i="2"/>
  <c r="F106" i="2"/>
  <c r="G903" i="2"/>
  <c r="G814" i="2"/>
  <c r="G276" i="2"/>
  <c r="F926" i="2"/>
  <c r="F571" i="2"/>
  <c r="F103" i="2"/>
  <c r="G777" i="2"/>
  <c r="F570" i="2"/>
  <c r="F163" i="2"/>
  <c r="G876" i="2"/>
  <c r="G795" i="2"/>
  <c r="G489" i="2"/>
  <c r="G363" i="2"/>
  <c r="F823" i="2"/>
  <c r="F745" i="2"/>
  <c r="F683" i="2"/>
  <c r="F470" i="2"/>
  <c r="F244" i="2"/>
  <c r="F154" i="2"/>
  <c r="F140" i="2"/>
  <c r="F744" i="2"/>
  <c r="F682" i="2"/>
  <c r="F469" i="2"/>
  <c r="F153" i="2"/>
  <c r="G990" i="2"/>
  <c r="G871" i="2"/>
  <c r="G758" i="2"/>
  <c r="F743" i="2"/>
  <c r="F67" i="2"/>
  <c r="G989" i="2"/>
  <c r="G870" i="2"/>
  <c r="G462" i="2"/>
  <c r="G343" i="2"/>
  <c r="G130" i="2"/>
  <c r="F887" i="2"/>
  <c r="F742" i="2"/>
  <c r="F599" i="2"/>
  <c r="F556" i="2"/>
  <c r="F467" i="2"/>
  <c r="F234" i="2"/>
  <c r="G973" i="2"/>
  <c r="G756" i="2"/>
  <c r="G459" i="2"/>
  <c r="G219" i="2"/>
  <c r="G129" i="2"/>
  <c r="G980" i="2"/>
  <c r="G964" i="2"/>
  <c r="G739" i="2"/>
  <c r="G723" i="2"/>
  <c r="G466" i="2"/>
  <c r="G385" i="2"/>
  <c r="G369" i="2"/>
  <c r="G337" i="2"/>
  <c r="G289" i="2"/>
  <c r="G273" i="2"/>
  <c r="G80" i="2"/>
  <c r="G602" i="2"/>
  <c r="F804" i="2"/>
  <c r="F595" i="2"/>
  <c r="F550" i="2"/>
  <c r="F466" i="2"/>
  <c r="F405" i="2"/>
  <c r="F330" i="2"/>
  <c r="F141" i="2"/>
  <c r="G948" i="2"/>
  <c r="G868" i="2"/>
  <c r="G755" i="2"/>
  <c r="G555" i="2"/>
  <c r="G458" i="2"/>
  <c r="G218" i="2"/>
  <c r="G122" i="2"/>
  <c r="G78" i="2"/>
  <c r="G993" i="2"/>
  <c r="F993" i="2"/>
  <c r="G945" i="2"/>
  <c r="F945" i="2"/>
  <c r="G897" i="2"/>
  <c r="F897" i="2"/>
  <c r="G358" i="2"/>
  <c r="F358" i="2"/>
  <c r="G865" i="2"/>
  <c r="F865" i="2"/>
  <c r="F342" i="2"/>
  <c r="G342" i="2"/>
  <c r="G896" i="2"/>
  <c r="F896" i="2"/>
  <c r="F767" i="2"/>
  <c r="G767" i="2"/>
  <c r="G687" i="2"/>
  <c r="F687" i="2"/>
  <c r="F655" i="2"/>
  <c r="G655" i="2"/>
  <c r="G526" i="2"/>
  <c r="F526" i="2"/>
  <c r="G494" i="2"/>
  <c r="F494" i="2"/>
  <c r="F446" i="2"/>
  <c r="G446" i="2"/>
  <c r="F397" i="2"/>
  <c r="G397" i="2"/>
  <c r="G317" i="2"/>
  <c r="F317" i="2"/>
  <c r="G221" i="2"/>
  <c r="F221" i="2"/>
  <c r="F124" i="2"/>
  <c r="G124" i="2"/>
  <c r="F92" i="2"/>
  <c r="G92" i="2"/>
  <c r="F60" i="2"/>
  <c r="G60" i="2"/>
  <c r="F12" i="2"/>
  <c r="G12" i="2"/>
  <c r="F882" i="2"/>
  <c r="F721" i="2"/>
  <c r="F560" i="2"/>
  <c r="F510" i="2"/>
  <c r="F255" i="2"/>
  <c r="G912" i="2"/>
  <c r="F766" i="2"/>
  <c r="G766" i="2"/>
  <c r="F686" i="2"/>
  <c r="G686" i="2"/>
  <c r="F850" i="2"/>
  <c r="G850" i="2"/>
  <c r="G769" i="2"/>
  <c r="F769" i="2"/>
  <c r="F737" i="2"/>
  <c r="G737" i="2"/>
  <c r="G689" i="2"/>
  <c r="F689" i="2"/>
  <c r="F641" i="2"/>
  <c r="G641" i="2"/>
  <c r="G625" i="2"/>
  <c r="F625" i="2"/>
  <c r="F593" i="2"/>
  <c r="G593" i="2"/>
  <c r="G528" i="2"/>
  <c r="F528" i="2"/>
  <c r="F464" i="2"/>
  <c r="G464" i="2"/>
  <c r="G448" i="2"/>
  <c r="F448" i="2"/>
  <c r="F399" i="2"/>
  <c r="G399" i="2"/>
  <c r="F383" i="2"/>
  <c r="G383" i="2"/>
  <c r="G351" i="2"/>
  <c r="F351" i="2"/>
  <c r="G271" i="2"/>
  <c r="F271" i="2"/>
  <c r="F190" i="2"/>
  <c r="G190" i="2"/>
  <c r="G174" i="2"/>
  <c r="F174" i="2"/>
  <c r="F158" i="2"/>
  <c r="G158" i="2"/>
  <c r="F126" i="2"/>
  <c r="G126" i="2"/>
  <c r="F62" i="2"/>
  <c r="G62" i="2"/>
  <c r="F46" i="2"/>
  <c r="G46" i="2"/>
  <c r="F14" i="2"/>
  <c r="G14" i="2"/>
  <c r="F335" i="2"/>
  <c r="G801" i="2"/>
  <c r="F801" i="2"/>
  <c r="G768" i="2"/>
  <c r="F768" i="2"/>
  <c r="G736" i="2"/>
  <c r="F736" i="2"/>
  <c r="G688" i="2"/>
  <c r="F688" i="2"/>
  <c r="G640" i="2"/>
  <c r="F640" i="2"/>
  <c r="G608" i="2"/>
  <c r="F608" i="2"/>
  <c r="G527" i="2"/>
  <c r="F527" i="2"/>
  <c r="G463" i="2"/>
  <c r="F463" i="2"/>
  <c r="G447" i="2"/>
  <c r="F447" i="2"/>
  <c r="G431" i="2"/>
  <c r="F431" i="2"/>
  <c r="G398" i="2"/>
  <c r="F398" i="2"/>
  <c r="G318" i="2"/>
  <c r="F318" i="2"/>
  <c r="G302" i="2"/>
  <c r="F302" i="2"/>
  <c r="G270" i="2"/>
  <c r="F270" i="2"/>
  <c r="G189" i="2"/>
  <c r="F189" i="2"/>
  <c r="G173" i="2"/>
  <c r="F173" i="2"/>
  <c r="G77" i="2"/>
  <c r="F77" i="2"/>
  <c r="F511" i="2"/>
  <c r="F334" i="2"/>
  <c r="G914" i="2"/>
  <c r="F943" i="2"/>
  <c r="G943" i="2"/>
  <c r="F654" i="2"/>
  <c r="G654" i="2"/>
  <c r="F396" i="2"/>
  <c r="G396" i="2"/>
  <c r="G220" i="2"/>
  <c r="F220" i="2"/>
  <c r="G27" i="2"/>
  <c r="F27" i="2"/>
  <c r="F11" i="2"/>
  <c r="G11" i="2"/>
  <c r="F881" i="2"/>
  <c r="F254" i="2"/>
  <c r="G911" i="2"/>
  <c r="G609" i="2"/>
  <c r="F253" i="2"/>
  <c r="F61" i="2"/>
  <c r="F657" i="2"/>
  <c r="F496" i="2"/>
  <c r="F432" i="2"/>
  <c r="F326" i="2"/>
  <c r="F495" i="2"/>
  <c r="F107" i="2"/>
  <c r="F300" i="2"/>
  <c r="G673" i="2"/>
  <c r="G576" i="2"/>
  <c r="F802" i="2"/>
  <c r="G223" i="2"/>
  <c r="G1001" i="2"/>
  <c r="F1001" i="2"/>
  <c r="G841" i="2"/>
  <c r="F792" i="2"/>
  <c r="G792" i="2"/>
  <c r="G776" i="2"/>
  <c r="F776" i="2"/>
  <c r="F712" i="2"/>
  <c r="G712" i="2"/>
  <c r="G664" i="2"/>
  <c r="F664" i="2"/>
  <c r="F648" i="2"/>
  <c r="G648" i="2"/>
  <c r="G632" i="2"/>
  <c r="F600" i="2"/>
  <c r="G600" i="2"/>
  <c r="G567" i="2"/>
  <c r="F567" i="2"/>
  <c r="F535" i="2"/>
  <c r="G535" i="2"/>
  <c r="G519" i="2"/>
  <c r="G423" i="2"/>
  <c r="G407" i="2"/>
  <c r="F407" i="2"/>
  <c r="F149" i="2"/>
  <c r="G149" i="2"/>
  <c r="G133" i="2"/>
  <c r="F133" i="2"/>
  <c r="G117" i="2"/>
  <c r="G101" i="2"/>
  <c r="F101" i="2"/>
  <c r="G37" i="2"/>
  <c r="F37" i="2"/>
  <c r="F5" i="2"/>
  <c r="G5" i="2"/>
  <c r="G542" i="2"/>
  <c r="G414" i="2"/>
  <c r="G285" i="2"/>
  <c r="G108" i="2"/>
  <c r="G28" i="2"/>
  <c r="F849" i="2"/>
  <c r="F705" i="2"/>
  <c r="F632" i="2"/>
  <c r="F544" i="2"/>
  <c r="F45" i="2"/>
  <c r="G969" i="2"/>
  <c r="G818" i="2"/>
  <c r="G390" i="2"/>
  <c r="G303" i="2"/>
  <c r="G1000" i="2"/>
  <c r="F1000" i="2"/>
  <c r="G984" i="2"/>
  <c r="F904" i="2"/>
  <c r="G904" i="2"/>
  <c r="G888" i="2"/>
  <c r="F888" i="2"/>
  <c r="F791" i="2"/>
  <c r="G791" i="2"/>
  <c r="G775" i="2"/>
  <c r="F775" i="2"/>
  <c r="G663" i="2"/>
  <c r="F663" i="2"/>
  <c r="G647" i="2"/>
  <c r="G582" i="2"/>
  <c r="G566" i="2"/>
  <c r="F566" i="2"/>
  <c r="G534" i="2"/>
  <c r="F534" i="2"/>
  <c r="G502" i="2"/>
  <c r="F502" i="2"/>
  <c r="G406" i="2"/>
  <c r="F406" i="2"/>
  <c r="G389" i="2"/>
  <c r="G357" i="2"/>
  <c r="F357" i="2"/>
  <c r="G341" i="2"/>
  <c r="F341" i="2"/>
  <c r="F325" i="2"/>
  <c r="G325" i="2"/>
  <c r="F277" i="2"/>
  <c r="G277" i="2"/>
  <c r="G261" i="2"/>
  <c r="F261" i="2"/>
  <c r="G213" i="2"/>
  <c r="F213" i="2"/>
  <c r="F196" i="2"/>
  <c r="G196" i="2"/>
  <c r="G164" i="2"/>
  <c r="F164" i="2"/>
  <c r="G132" i="2"/>
  <c r="F132" i="2"/>
  <c r="G116" i="2"/>
  <c r="G84" i="2"/>
  <c r="G36" i="2"/>
  <c r="F36" i="2"/>
  <c r="G20" i="2"/>
  <c r="F20" i="2"/>
  <c r="F4" i="2"/>
  <c r="G4" i="2"/>
  <c r="F848" i="2"/>
  <c r="F631" i="2"/>
  <c r="F367" i="2"/>
  <c r="F294" i="2"/>
  <c r="F157" i="2"/>
  <c r="F44" i="2"/>
  <c r="G968" i="2"/>
  <c r="G728" i="2"/>
  <c r="G301" i="2"/>
  <c r="F841" i="2"/>
  <c r="F624" i="2"/>
  <c r="F415" i="2"/>
  <c r="F293" i="2"/>
  <c r="F156" i="2"/>
  <c r="F100" i="2"/>
  <c r="G727" i="2"/>
  <c r="F840" i="2"/>
  <c r="F222" i="2"/>
  <c r="G944" i="2"/>
  <c r="F785" i="2"/>
  <c r="F519" i="2"/>
  <c r="F205" i="2"/>
  <c r="F30" i="2"/>
  <c r="G622" i="2"/>
  <c r="G287" i="2"/>
  <c r="G110" i="2"/>
  <c r="G900" i="2"/>
  <c r="F900" i="2"/>
  <c r="F852" i="2"/>
  <c r="G852" i="2"/>
  <c r="G820" i="2"/>
  <c r="F820" i="2"/>
  <c r="F771" i="2"/>
  <c r="G771" i="2"/>
  <c r="G691" i="2"/>
  <c r="F691" i="2"/>
  <c r="G643" i="2"/>
  <c r="F643" i="2"/>
  <c r="F482" i="2"/>
  <c r="G482" i="2"/>
  <c r="G450" i="2"/>
  <c r="F450" i="2"/>
  <c r="F434" i="2"/>
  <c r="G434" i="2"/>
  <c r="G321" i="2"/>
  <c r="F321" i="2"/>
  <c r="G257" i="2"/>
  <c r="F257" i="2"/>
  <c r="G241" i="2"/>
  <c r="F241" i="2"/>
  <c r="F208" i="2"/>
  <c r="G208" i="2"/>
  <c r="G192" i="2"/>
  <c r="F192" i="2"/>
  <c r="F144" i="2"/>
  <c r="G144" i="2"/>
  <c r="F128" i="2"/>
  <c r="G128" i="2"/>
  <c r="F64" i="2"/>
  <c r="G64" i="2"/>
  <c r="F784" i="2"/>
  <c r="F289" i="2"/>
  <c r="F204" i="2"/>
  <c r="F29" i="2"/>
  <c r="G711" i="2"/>
  <c r="G541" i="2"/>
  <c r="G365" i="2"/>
  <c r="G940" i="2"/>
  <c r="F940" i="2"/>
  <c r="G942" i="2"/>
  <c r="F942" i="2"/>
  <c r="G701" i="2"/>
  <c r="F701" i="2"/>
  <c r="G588" i="2"/>
  <c r="F588" i="2"/>
  <c r="F540" i="2"/>
  <c r="G540" i="2"/>
  <c r="G428" i="2"/>
  <c r="F428" i="2"/>
  <c r="F267" i="2"/>
  <c r="G267" i="2"/>
  <c r="G251" i="2"/>
  <c r="F251" i="2"/>
  <c r="F958" i="2"/>
  <c r="F846" i="2"/>
  <c r="F492" i="2"/>
  <c r="G941" i="2"/>
  <c r="F941" i="2"/>
  <c r="F507" i="2"/>
  <c r="G507" i="2"/>
  <c r="G427" i="2"/>
  <c r="F427" i="2"/>
  <c r="F41" i="2"/>
  <c r="G41" i="2"/>
  <c r="F894" i="2"/>
  <c r="F845" i="2"/>
  <c r="F733" i="2"/>
  <c r="F653" i="2"/>
  <c r="F538" i="2"/>
  <c r="G538" i="2"/>
  <c r="G522" i="2"/>
  <c r="F522" i="2"/>
  <c r="F490" i="2"/>
  <c r="G490" i="2"/>
  <c r="G426" i="2"/>
  <c r="F426" i="2"/>
  <c r="F40" i="2"/>
  <c r="G40" i="2"/>
  <c r="F893" i="2"/>
  <c r="F844" i="2"/>
  <c r="F652" i="2"/>
  <c r="F266" i="2"/>
  <c r="G830" i="2"/>
  <c r="G587" i="2"/>
  <c r="G395" i="2"/>
  <c r="G58" i="2"/>
  <c r="G955" i="2"/>
  <c r="F794" i="2"/>
  <c r="G794" i="2"/>
  <c r="G762" i="2"/>
  <c r="F746" i="2"/>
  <c r="G746" i="2"/>
  <c r="G425" i="2"/>
  <c r="G409" i="2"/>
  <c r="G392" i="2"/>
  <c r="G376" i="2"/>
  <c r="F280" i="2"/>
  <c r="G280" i="2"/>
  <c r="G232" i="2"/>
  <c r="F216" i="2"/>
  <c r="G216" i="2"/>
  <c r="G135" i="2"/>
  <c r="G55" i="2"/>
  <c r="F39" i="2"/>
  <c r="G39" i="2"/>
  <c r="G866" i="2"/>
  <c r="G416" i="2"/>
  <c r="G319" i="2"/>
  <c r="G206" i="2"/>
  <c r="F892" i="2"/>
  <c r="F843" i="2"/>
  <c r="F685" i="2"/>
  <c r="F605" i="2"/>
  <c r="G828" i="2"/>
  <c r="G765" i="2"/>
  <c r="G394" i="2"/>
  <c r="G249" i="2"/>
  <c r="F970" i="2"/>
  <c r="G970" i="2"/>
  <c r="G665" i="2"/>
  <c r="F665" i="2"/>
  <c r="F617" i="2"/>
  <c r="G617" i="2"/>
  <c r="F504" i="2"/>
  <c r="G504" i="2"/>
  <c r="F456" i="2"/>
  <c r="G456" i="2"/>
  <c r="F279" i="2"/>
  <c r="G279" i="2"/>
  <c r="F939" i="2"/>
  <c r="F684" i="2"/>
  <c r="F604" i="2"/>
  <c r="F521" i="2"/>
  <c r="F474" i="2"/>
  <c r="F444" i="2"/>
  <c r="G827" i="2"/>
  <c r="G764" i="2"/>
  <c r="G651" i="2"/>
  <c r="G393" i="2"/>
  <c r="G248" i="2"/>
  <c r="G182" i="2"/>
  <c r="G983" i="2"/>
  <c r="F983" i="2"/>
  <c r="G855" i="2"/>
  <c r="G839" i="2"/>
  <c r="F790" i="2"/>
  <c r="G790" i="2"/>
  <c r="G614" i="2"/>
  <c r="G581" i="2"/>
  <c r="F581" i="2"/>
  <c r="G115" i="2"/>
  <c r="G669" i="2"/>
  <c r="G347" i="2"/>
  <c r="G235" i="2"/>
  <c r="G90" i="2"/>
  <c r="G26" i="2"/>
  <c r="F630" i="2"/>
  <c r="F533" i="2"/>
  <c r="F709" i="2"/>
  <c r="G709" i="2"/>
  <c r="G861" i="2"/>
  <c r="G829" i="2"/>
  <c r="G748" i="2"/>
  <c r="G491" i="2"/>
  <c r="G475" i="2"/>
  <c r="G411" i="2"/>
  <c r="G346" i="2"/>
  <c r="G282" i="2"/>
  <c r="G137" i="2"/>
  <c r="G89" i="2"/>
  <c r="G57" i="2"/>
  <c r="G25" i="2"/>
  <c r="F565" i="2"/>
  <c r="F532" i="2"/>
  <c r="F501" i="2"/>
  <c r="G340" i="2"/>
  <c r="F131" i="2"/>
  <c r="G131" i="2"/>
  <c r="G476" i="2"/>
  <c r="G331" i="2"/>
  <c r="G283" i="2"/>
  <c r="G170" i="2"/>
  <c r="G138" i="2"/>
  <c r="F356" i="2"/>
  <c r="G981" i="2"/>
  <c r="G805" i="2"/>
  <c r="G740" i="2"/>
  <c r="G724" i="2"/>
  <c r="G435" i="2"/>
  <c r="G290" i="2"/>
  <c r="F290" i="2"/>
  <c r="G209" i="2"/>
  <c r="F209" i="2"/>
  <c r="G113" i="2"/>
  <c r="G81" i="2"/>
  <c r="G65" i="2"/>
  <c r="G49" i="2"/>
  <c r="F35" i="2"/>
  <c r="G979" i="2"/>
  <c r="G931" i="2"/>
  <c r="G899" i="2"/>
  <c r="G786" i="2"/>
  <c r="G642" i="2"/>
  <c r="G626" i="2"/>
  <c r="G449" i="2"/>
  <c r="G384" i="2"/>
  <c r="G336" i="2"/>
  <c r="G320" i="2"/>
  <c r="G272" i="2"/>
  <c r="G793" i="2"/>
  <c r="G729" i="2"/>
  <c r="G568" i="2"/>
  <c r="G424" i="2"/>
  <c r="G327" i="2"/>
  <c r="G150" i="2"/>
  <c r="G102" i="2"/>
  <c r="G6" i="2"/>
  <c r="F481" i="2"/>
  <c r="G47" i="2"/>
  <c r="F963" i="2"/>
  <c r="F915" i="2"/>
  <c r="F590" i="2"/>
  <c r="F975" i="2"/>
  <c r="G975" i="2"/>
  <c r="F799" i="2"/>
  <c r="G799" i="2"/>
  <c r="F718" i="2"/>
  <c r="G718" i="2"/>
  <c r="F573" i="2"/>
  <c r="G573" i="2"/>
  <c r="G477" i="2"/>
  <c r="F477" i="2"/>
  <c r="F429" i="2"/>
  <c r="G429" i="2"/>
  <c r="F380" i="2"/>
  <c r="G380" i="2"/>
  <c r="F332" i="2"/>
  <c r="G332" i="2"/>
  <c r="F187" i="2"/>
  <c r="G187" i="2"/>
  <c r="F91" i="2"/>
  <c r="G91" i="2"/>
  <c r="F272" i="2"/>
  <c r="F770" i="2"/>
  <c r="F763" i="2"/>
  <c r="G763" i="2"/>
  <c r="F956" i="2"/>
  <c r="F703" i="2"/>
  <c r="F155" i="2"/>
  <c r="G445" i="2"/>
  <c r="G361" i="2"/>
  <c r="G268" i="2"/>
  <c r="G123" i="2"/>
  <c r="G858" i="2"/>
  <c r="F713" i="2"/>
  <c r="G713" i="2"/>
  <c r="G359" i="2"/>
  <c r="F22" i="2"/>
  <c r="G22" i="2"/>
  <c r="F859" i="2"/>
  <c r="F488" i="2"/>
  <c r="F953" i="2"/>
  <c r="G953" i="2"/>
  <c r="G889" i="2"/>
  <c r="F889" i="2"/>
  <c r="G615" i="2"/>
  <c r="F615" i="2"/>
  <c r="F309" i="2"/>
  <c r="G309" i="2"/>
  <c r="F924" i="2"/>
  <c r="F880" i="2"/>
  <c r="F762" i="2"/>
  <c r="F698" i="2"/>
  <c r="F650" i="2"/>
  <c r="G922" i="2"/>
  <c r="G867" i="2"/>
  <c r="G85" i="2"/>
  <c r="G54" i="2"/>
  <c r="G919" i="2"/>
  <c r="F919" i="2"/>
  <c r="F946" i="2"/>
  <c r="F856" i="2"/>
  <c r="F786" i="2"/>
  <c r="F626" i="2"/>
  <c r="F603" i="2"/>
  <c r="F389" i="2"/>
  <c r="G807" i="2"/>
  <c r="G610" i="2"/>
  <c r="G920" i="2"/>
  <c r="F644" i="2"/>
  <c r="G644" i="2"/>
  <c r="F596" i="2"/>
  <c r="G596" i="2"/>
  <c r="G306" i="2"/>
  <c r="F306" i="2"/>
  <c r="F193" i="2"/>
  <c r="G193" i="2"/>
  <c r="G33" i="2"/>
  <c r="F33" i="2"/>
  <c r="F971" i="2"/>
  <c r="F921" i="2"/>
  <c r="F899" i="2"/>
  <c r="F738" i="2"/>
  <c r="F690" i="2"/>
  <c r="F667" i="2"/>
  <c r="F647" i="2"/>
  <c r="F552" i="2"/>
  <c r="F530" i="2"/>
  <c r="F505" i="2"/>
  <c r="F409" i="2"/>
  <c r="F387" i="2"/>
  <c r="F360" i="2"/>
  <c r="F336" i="2"/>
  <c r="F312" i="2"/>
  <c r="F171" i="2"/>
  <c r="F115" i="2"/>
  <c r="F84" i="2"/>
  <c r="G972" i="2"/>
  <c r="G947" i="2"/>
  <c r="G891" i="2"/>
  <c r="G863" i="2"/>
  <c r="G803" i="2"/>
  <c r="G719" i="2"/>
  <c r="G607" i="2"/>
  <c r="G436" i="2"/>
  <c r="G402" i="2"/>
  <c r="G345" i="2"/>
  <c r="G258" i="2"/>
  <c r="G227" i="2"/>
  <c r="G198" i="2"/>
  <c r="G167" i="2"/>
  <c r="G51" i="2"/>
  <c r="G24" i="2"/>
  <c r="G930" i="2"/>
  <c r="F930" i="2"/>
  <c r="F642" i="2"/>
  <c r="F384" i="2"/>
  <c r="G224" i="2"/>
  <c r="F962" i="2"/>
  <c r="G191" i="2"/>
  <c r="G832" i="2"/>
  <c r="F832" i="2"/>
  <c r="G800" i="2"/>
  <c r="F800" i="2"/>
  <c r="G735" i="2"/>
  <c r="F735" i="2"/>
  <c r="F352" i="2"/>
  <c r="F79" i="2"/>
  <c r="G995" i="2"/>
  <c r="G851" i="2"/>
  <c r="G594" i="2"/>
  <c r="G304" i="2"/>
  <c r="G159" i="2"/>
  <c r="G991" i="2"/>
  <c r="F991" i="2"/>
  <c r="F959" i="2"/>
  <c r="G959" i="2"/>
  <c r="F879" i="2"/>
  <c r="G879" i="2"/>
  <c r="G734" i="2"/>
  <c r="F734" i="2"/>
  <c r="F702" i="2"/>
  <c r="G702" i="2"/>
  <c r="F670" i="2"/>
  <c r="G670" i="2"/>
  <c r="F606" i="2"/>
  <c r="G606" i="2"/>
  <c r="F525" i="2"/>
  <c r="G525" i="2"/>
  <c r="F461" i="2"/>
  <c r="G461" i="2"/>
  <c r="F348" i="2"/>
  <c r="G348" i="2"/>
  <c r="F284" i="2"/>
  <c r="G284" i="2"/>
  <c r="F75" i="2"/>
  <c r="G75" i="2"/>
  <c r="F960" i="2"/>
  <c r="F751" i="2"/>
  <c r="F706" i="2"/>
  <c r="F639" i="2"/>
  <c r="G994" i="2"/>
  <c r="G364" i="2"/>
  <c r="G127" i="2"/>
  <c r="F864" i="2"/>
  <c r="F658" i="2"/>
  <c r="F545" i="2"/>
  <c r="G509" i="2"/>
  <c r="F449" i="2"/>
  <c r="F240" i="2"/>
  <c r="F43" i="2"/>
  <c r="G847" i="2"/>
  <c r="G816" i="2"/>
  <c r="G589" i="2"/>
  <c r="G561" i="2"/>
  <c r="G63" i="2"/>
  <c r="F1004" i="2"/>
  <c r="G1004" i="2"/>
  <c r="F908" i="2"/>
  <c r="G908" i="2"/>
  <c r="G812" i="2"/>
  <c r="F812" i="2"/>
  <c r="G715" i="2"/>
  <c r="F715" i="2"/>
  <c r="F506" i="2"/>
  <c r="G506" i="2"/>
  <c r="G168" i="2"/>
  <c r="F168" i="2"/>
  <c r="F979" i="2"/>
  <c r="F236" i="2"/>
  <c r="G988" i="2"/>
  <c r="G928" i="2"/>
  <c r="G815" i="2"/>
  <c r="G783" i="2"/>
  <c r="G699" i="2"/>
  <c r="F1003" i="2"/>
  <c r="G1003" i="2"/>
  <c r="G811" i="2"/>
  <c r="F811" i="2"/>
  <c r="G714" i="2"/>
  <c r="F714" i="2"/>
  <c r="G151" i="2"/>
  <c r="F151" i="2"/>
  <c r="F119" i="2"/>
  <c r="G119" i="2"/>
  <c r="F978" i="2"/>
  <c r="F955" i="2"/>
  <c r="F931" i="2"/>
  <c r="F907" i="2"/>
  <c r="F883" i="2"/>
  <c r="F860" i="2"/>
  <c r="F819" i="2"/>
  <c r="F320" i="2"/>
  <c r="F265" i="2"/>
  <c r="F203" i="2"/>
  <c r="F15" i="2"/>
  <c r="G987" i="2"/>
  <c r="G927" i="2"/>
  <c r="G782" i="2"/>
  <c r="G674" i="2"/>
  <c r="G558" i="2"/>
  <c r="G473" i="2"/>
  <c r="G442" i="2"/>
  <c r="G417" i="2"/>
  <c r="G207" i="2"/>
  <c r="G88" i="2"/>
  <c r="G31" i="2"/>
  <c r="G906" i="2"/>
  <c r="G890" i="2"/>
  <c r="F890" i="2"/>
  <c r="G842" i="2"/>
  <c r="G810" i="2"/>
  <c r="F810" i="2"/>
  <c r="G761" i="2"/>
  <c r="G681" i="2"/>
  <c r="G408" i="2"/>
  <c r="G391" i="2"/>
  <c r="G375" i="2"/>
  <c r="F375" i="2"/>
  <c r="F311" i="2"/>
  <c r="G311" i="2"/>
  <c r="F231" i="2"/>
  <c r="G231" i="2"/>
  <c r="F215" i="2"/>
  <c r="G215" i="2"/>
  <c r="F134" i="2"/>
  <c r="G134" i="2"/>
  <c r="F118" i="2"/>
  <c r="G118" i="2"/>
  <c r="F38" i="2"/>
  <c r="G38" i="2"/>
  <c r="F954" i="2"/>
  <c r="F513" i="2"/>
  <c r="F392" i="2"/>
  <c r="F95" i="2"/>
  <c r="G986" i="2"/>
  <c r="G697" i="2"/>
  <c r="G638" i="2"/>
  <c r="G557" i="2"/>
  <c r="G472" i="2"/>
  <c r="G441" i="2"/>
  <c r="G297" i="2"/>
  <c r="G87" i="2"/>
  <c r="G59" i="2"/>
  <c r="G616" i="2"/>
  <c r="F616" i="2"/>
  <c r="F455" i="2"/>
  <c r="G455" i="2"/>
  <c r="G374" i="2"/>
  <c r="F374" i="2"/>
  <c r="G310" i="2"/>
  <c r="F310" i="2"/>
  <c r="F262" i="2"/>
  <c r="G262" i="2"/>
  <c r="G214" i="2"/>
  <c r="F214" i="2"/>
  <c r="F69" i="2"/>
  <c r="G69" i="2"/>
  <c r="F21" i="2"/>
  <c r="G21" i="2"/>
  <c r="F976" i="2"/>
  <c r="F905" i="2"/>
  <c r="F858" i="2"/>
  <c r="F722" i="2"/>
  <c r="F487" i="2"/>
  <c r="F465" i="2"/>
  <c r="F391" i="2"/>
  <c r="F368" i="2"/>
  <c r="F233" i="2"/>
  <c r="F175" i="2"/>
  <c r="F152" i="2"/>
  <c r="G985" i="2"/>
  <c r="G895" i="2"/>
  <c r="G809" i="2"/>
  <c r="G696" i="2"/>
  <c r="G440" i="2"/>
  <c r="G120" i="2"/>
  <c r="G86" i="2"/>
  <c r="F952" i="2"/>
  <c r="G952" i="2"/>
  <c r="G936" i="2"/>
  <c r="F936" i="2"/>
  <c r="G872" i="2"/>
  <c r="F872" i="2"/>
  <c r="F68" i="2"/>
  <c r="G68" i="2"/>
  <c r="F857" i="2"/>
  <c r="F671" i="2"/>
  <c r="F486" i="2"/>
  <c r="F256" i="2"/>
  <c r="F232" i="2"/>
  <c r="F200" i="2"/>
  <c r="G808" i="2"/>
  <c r="G754" i="2"/>
  <c r="G695" i="2"/>
  <c r="G439" i="2"/>
  <c r="G413" i="2"/>
  <c r="G295" i="2"/>
  <c r="G264" i="2"/>
  <c r="G230" i="2"/>
  <c r="G111" i="2"/>
  <c r="G662" i="2"/>
  <c r="F662" i="2"/>
  <c r="G598" i="2"/>
  <c r="F598" i="2"/>
  <c r="G324" i="2"/>
  <c r="F324" i="2"/>
  <c r="F308" i="2"/>
  <c r="G308" i="2"/>
  <c r="G260" i="2"/>
  <c r="F260" i="2"/>
  <c r="F212" i="2"/>
  <c r="G212" i="2"/>
  <c r="F923" i="2"/>
  <c r="F835" i="2"/>
  <c r="F761" i="2"/>
  <c r="F649" i="2"/>
  <c r="F316" i="2"/>
  <c r="F199" i="2"/>
  <c r="F117" i="2"/>
  <c r="G750" i="2"/>
  <c r="G694" i="2"/>
  <c r="G635" i="2"/>
  <c r="G554" i="2"/>
  <c r="G497" i="2"/>
  <c r="G438" i="2"/>
  <c r="G263" i="2"/>
  <c r="G229" i="2"/>
  <c r="G998" i="2"/>
  <c r="F918" i="2"/>
  <c r="G918" i="2"/>
  <c r="G741" i="2"/>
  <c r="F693" i="2"/>
  <c r="G693" i="2"/>
  <c r="G645" i="2"/>
  <c r="F645" i="2"/>
  <c r="F597" i="2"/>
  <c r="G597" i="2"/>
  <c r="G580" i="2"/>
  <c r="G564" i="2"/>
  <c r="G548" i="2"/>
  <c r="G500" i="2"/>
  <c r="G468" i="2"/>
  <c r="G355" i="2"/>
  <c r="F355" i="2"/>
  <c r="G323" i="2"/>
  <c r="G307" i="2"/>
  <c r="F307" i="2"/>
  <c r="F211" i="2"/>
  <c r="G211" i="2"/>
  <c r="F194" i="2"/>
  <c r="G194" i="2"/>
  <c r="G114" i="2"/>
  <c r="G66" i="2"/>
  <c r="G50" i="2"/>
  <c r="F50" i="2"/>
  <c r="F855" i="2"/>
  <c r="F760" i="2"/>
  <c r="F553" i="2"/>
  <c r="F410" i="2"/>
  <c r="F388" i="2"/>
  <c r="F197" i="2"/>
  <c r="F116" i="2"/>
  <c r="G831" i="2"/>
  <c r="G806" i="2"/>
  <c r="G634" i="2"/>
  <c r="G577" i="2"/>
  <c r="G493" i="2"/>
  <c r="G437" i="2"/>
  <c r="G288" i="2"/>
  <c r="G259" i="2"/>
  <c r="G228" i="2"/>
  <c r="G143" i="2"/>
  <c r="G52" i="2"/>
  <c r="F885" i="2"/>
  <c r="G885" i="2"/>
  <c r="F692" i="2"/>
  <c r="G692" i="2"/>
  <c r="F884" i="2"/>
  <c r="G884" i="2"/>
  <c r="F305" i="2"/>
  <c r="G305" i="2"/>
  <c r="F112" i="2"/>
  <c r="G112" i="2"/>
  <c r="G96" i="2"/>
  <c r="F96" i="2"/>
  <c r="G32" i="2"/>
  <c r="F32" i="2"/>
  <c r="F992" i="2"/>
  <c r="F666" i="2"/>
  <c r="F646" i="2"/>
  <c r="F623" i="2"/>
  <c r="F551" i="2"/>
  <c r="F529" i="2"/>
  <c r="F433" i="2"/>
  <c r="F408" i="2"/>
  <c r="F359" i="2"/>
  <c r="F252" i="2"/>
  <c r="F139" i="2"/>
  <c r="F114" i="2"/>
  <c r="F83" i="2"/>
  <c r="G773" i="2"/>
  <c r="G747" i="2"/>
  <c r="G574" i="2"/>
  <c r="G518" i="2"/>
  <c r="G400" i="2"/>
  <c r="G373" i="2"/>
  <c r="G344" i="2"/>
  <c r="G226" i="2"/>
  <c r="G166" i="2"/>
  <c r="G48" i="2"/>
  <c r="G23" i="2"/>
  <c r="G898" i="2"/>
  <c r="G512" i="2"/>
  <c r="G239" i="2"/>
  <c r="G94" i="2"/>
  <c r="F480" i="2"/>
  <c r="F239" i="2"/>
  <c r="F76" i="2"/>
  <c r="G381" i="2"/>
  <c r="G188" i="2"/>
  <c r="G142" i="2"/>
  <c r="G977" i="2"/>
  <c r="G961" i="2"/>
  <c r="G913" i="2"/>
  <c r="G833" i="2"/>
  <c r="F833" i="2"/>
  <c r="G817" i="2"/>
  <c r="F817" i="2"/>
  <c r="G752" i="2"/>
  <c r="G720" i="2"/>
  <c r="G704" i="2"/>
  <c r="G672" i="2"/>
  <c r="G656" i="2"/>
  <c r="G591" i="2"/>
  <c r="G575" i="2"/>
  <c r="F575" i="2"/>
  <c r="G559" i="2"/>
  <c r="F559" i="2"/>
  <c r="G543" i="2"/>
  <c r="G382" i="2"/>
  <c r="F382" i="2"/>
  <c r="G366" i="2"/>
  <c r="G350" i="2"/>
  <c r="G286" i="2"/>
  <c r="F286" i="2"/>
  <c r="G125" i="2"/>
  <c r="F125" i="2"/>
  <c r="G109" i="2"/>
  <c r="F109" i="2"/>
  <c r="G93" i="2"/>
  <c r="F93" i="2"/>
  <c r="G13" i="2"/>
  <c r="F13" i="2"/>
  <c r="F929" i="2"/>
  <c r="F753" i="2"/>
  <c r="F479" i="2"/>
  <c r="F333" i="2"/>
  <c r="F238" i="2"/>
  <c r="G834" i="2"/>
  <c r="G478" i="2"/>
  <c r="F430" i="2"/>
  <c r="G430" i="2"/>
  <c r="F349" i="2"/>
  <c r="G349" i="2"/>
  <c r="G269" i="2"/>
  <c r="F269" i="2"/>
  <c r="G237" i="2"/>
  <c r="G172" i="2"/>
  <c r="F478" i="2"/>
  <c r="F237" i="2"/>
  <c r="G974" i="2"/>
  <c r="F524" i="2"/>
  <c r="F169" i="2"/>
  <c r="G780" i="2"/>
  <c r="G717" i="2"/>
  <c r="G957" i="2"/>
  <c r="G700" i="2"/>
  <c r="G185" i="2"/>
  <c r="G74" i="2"/>
</calcChain>
</file>

<file path=xl/sharedStrings.xml><?xml version="1.0" encoding="utf-8"?>
<sst xmlns="http://schemas.openxmlformats.org/spreadsheetml/2006/main" count="7018" uniqueCount="5686">
  <si>
    <t>Nombre completo</t>
  </si>
  <si>
    <t>Dirección</t>
  </si>
  <si>
    <t>Localidad y Código postal</t>
  </si>
  <si>
    <t>Correo electrónico</t>
  </si>
  <si>
    <t>Fecha de alta</t>
  </si>
  <si>
    <t>Leandra Anna Malo Alba</t>
  </si>
  <si>
    <t>Severo Granados Iglesia</t>
  </si>
  <si>
    <t>Lucho Andreu Amat</t>
  </si>
  <si>
    <t>Matías Mauricio Castillo Barrera</t>
  </si>
  <si>
    <t>Mauricio Guijarro Castelló</t>
  </si>
  <si>
    <t>Isaura Leyre Avilés Pelayo</t>
  </si>
  <si>
    <t>Soraya Morera-Lago</t>
  </si>
  <si>
    <t>Victoriano Tapia-Cabanillas</t>
  </si>
  <si>
    <t>Nidia Saez Campoy</t>
  </si>
  <si>
    <t>Teófila Villanueva Molina</t>
  </si>
  <si>
    <t>Trini de Alberdi</t>
  </si>
  <si>
    <t>Dani Baena</t>
  </si>
  <si>
    <t>Angelina de Arregui</t>
  </si>
  <si>
    <t>Samuel de Carranza</t>
  </si>
  <si>
    <t>Jacinta Montenegro Garcés</t>
  </si>
  <si>
    <t>Lisandro Delgado Nadal</t>
  </si>
  <si>
    <t>Samanta Manjón Godoy</t>
  </si>
  <si>
    <t>Albano Teodosio Cañete Rosa</t>
  </si>
  <si>
    <t>Abel Villanueva</t>
  </si>
  <si>
    <t>Bienvenida Pulido Cózar</t>
  </si>
  <si>
    <t>Patricio Manzano Pomares</t>
  </si>
  <si>
    <t>Modesto de Casares</t>
  </si>
  <si>
    <t>Berto del Morales</t>
  </si>
  <si>
    <t>Nuria Daniela Jáuregui Tejero</t>
  </si>
  <si>
    <t>Anastasia Pedrero Solera</t>
  </si>
  <si>
    <t>Purificación Salomé Ferrán Valero</t>
  </si>
  <si>
    <t>Melania Cobos Lozano</t>
  </si>
  <si>
    <t>Evangelina Font Lago</t>
  </si>
  <si>
    <t>Otilia Mercader Jimenez</t>
  </si>
  <si>
    <t>Nadia Reyes-Bosch</t>
  </si>
  <si>
    <t>Mireia Córdoba Pi</t>
  </si>
  <si>
    <t>Melisa Rueda Rosado</t>
  </si>
  <si>
    <t>Trini Sanabria-Frías</t>
  </si>
  <si>
    <t>Lucía Manola Briones Jove</t>
  </si>
  <si>
    <t>Natalio Pereira Barrio</t>
  </si>
  <si>
    <t>Nerea Alcalde Solé</t>
  </si>
  <si>
    <t>Gracia Goicoechea Alba</t>
  </si>
  <si>
    <t>Toño Hidalgo Blázquez</t>
  </si>
  <si>
    <t>Cándida Sedano Jiménez</t>
  </si>
  <si>
    <t>Eutimio Barreda Cobos</t>
  </si>
  <si>
    <t>Rosario Yuste Falcón</t>
  </si>
  <si>
    <t>Encarnacion Español Ocaña</t>
  </si>
  <si>
    <t>Magdalena Vilaplana Esteve</t>
  </si>
  <si>
    <t>Adelardo Novoa</t>
  </si>
  <si>
    <t>Adoración Rovira Zabala</t>
  </si>
  <si>
    <t>Ovidio Lamas</t>
  </si>
  <si>
    <t>Reyes Julián Nogués</t>
  </si>
  <si>
    <t>Adoración Jurado Clemente</t>
  </si>
  <si>
    <t>Plácido Zabala Feijoo</t>
  </si>
  <si>
    <t>Abel Alex Cueto López</t>
  </si>
  <si>
    <t>Miguela Sanmiguel Paz</t>
  </si>
  <si>
    <t>Narcisa Villaverde Montes</t>
  </si>
  <si>
    <t>Leonardo Aller Bermúdez</t>
  </si>
  <si>
    <t>Javiera Bartolomé Torrens</t>
  </si>
  <si>
    <t>María Carmen de Fuster</t>
  </si>
  <si>
    <t>Adán Fonseca Marin</t>
  </si>
  <si>
    <t>Adalberto de Fabra</t>
  </si>
  <si>
    <t>Rosalinda Jaume Romero</t>
  </si>
  <si>
    <t>Abigaíl Enríquez Carreras</t>
  </si>
  <si>
    <t>África Morcillo</t>
  </si>
  <si>
    <t>Gilberto Cárdenas-Esparza</t>
  </si>
  <si>
    <t>Marisela Posada Jover</t>
  </si>
  <si>
    <t>Begoña Claudia Coello Zabaleta</t>
  </si>
  <si>
    <t>Marcos Arregui Sainz</t>
  </si>
  <si>
    <t>Venceslás Sastre Peñalver</t>
  </si>
  <si>
    <t>Febe Amaya</t>
  </si>
  <si>
    <t>Quirino Granados Verdugo</t>
  </si>
  <si>
    <t>Imelda de Perea</t>
  </si>
  <si>
    <t>Isidora de Crespi</t>
  </si>
  <si>
    <t>Balduino Martin Águila</t>
  </si>
  <si>
    <t>Casandra Ramírez Canet</t>
  </si>
  <si>
    <t>Eustaquio Vigil Gil</t>
  </si>
  <si>
    <t>Elvira del Espinosa</t>
  </si>
  <si>
    <t>Pía Huertas Manzanares</t>
  </si>
  <si>
    <t>Alberto Salas Báez</t>
  </si>
  <si>
    <t>Sol Rosales Calvo</t>
  </si>
  <si>
    <t>Guiomar Folch Sanjuan</t>
  </si>
  <si>
    <t>Nidia Pardo-Nuñez</t>
  </si>
  <si>
    <t>Emperatriz Sabina Pastor Pedrero</t>
  </si>
  <si>
    <t>Ximena Jurado-Mata</t>
  </si>
  <si>
    <t>Eugenio Aranda Falcón</t>
  </si>
  <si>
    <t>Felicia del Palomo</t>
  </si>
  <si>
    <t>Abel Uribe Cerro</t>
  </si>
  <si>
    <t>Andrés Felipe Prado-Infante</t>
  </si>
  <si>
    <t>Jordi de Perea</t>
  </si>
  <si>
    <t>Ricarda Escrivá Cervera</t>
  </si>
  <si>
    <t>Socorro Morales Guerrero</t>
  </si>
  <si>
    <t>Asunción Ágata Gutierrez Morera</t>
  </si>
  <si>
    <t>Jesús Frías Ibáñez</t>
  </si>
  <si>
    <t>Teodosio Niño</t>
  </si>
  <si>
    <t>Susana Vizcaíno Nuñez</t>
  </si>
  <si>
    <t>Abilio Cuéllar Rovira</t>
  </si>
  <si>
    <t>Adora Alberto Rebollo</t>
  </si>
  <si>
    <t>Primitivo Jaén Garcés</t>
  </si>
  <si>
    <t>Delfina Donoso</t>
  </si>
  <si>
    <t>Julio Fuster Vigil</t>
  </si>
  <si>
    <t>Cintia Carballo-Bayona</t>
  </si>
  <si>
    <t>Fortunata Pascual Ribas</t>
  </si>
  <si>
    <t>Lilia Figuerola Bauzà</t>
  </si>
  <si>
    <t>Pili Morell-Oliver</t>
  </si>
  <si>
    <t>Estrella Peñas Benito</t>
  </si>
  <si>
    <t>María Ángeles Roura Carnero</t>
  </si>
  <si>
    <t>Violeta Violeta Lamas Sarabia</t>
  </si>
  <si>
    <t>Ruben Marquez Belda</t>
  </si>
  <si>
    <t>Manola Criado</t>
  </si>
  <si>
    <t>Rita Asensio Salgado</t>
  </si>
  <si>
    <t>Daniela Cabello Vallés</t>
  </si>
  <si>
    <t>Nicolasa Aurelia Lasa Puig</t>
  </si>
  <si>
    <t>Jonatan Trillo Larrañaga</t>
  </si>
  <si>
    <t>Jose Francisco Alvarado Pombo</t>
  </si>
  <si>
    <t>Samanta Casandra Borrell Maestre</t>
  </si>
  <si>
    <t>Emilia María Luisa Lluch Vives</t>
  </si>
  <si>
    <t>Esteban Guillén Mena</t>
  </si>
  <si>
    <t>Josué Rocha Juan</t>
  </si>
  <si>
    <t>Encarnación Alemán-Prats</t>
  </si>
  <si>
    <t>Celia Verdú</t>
  </si>
  <si>
    <t>Espiridión del Viñas</t>
  </si>
  <si>
    <t>Melania Lobato-Mena</t>
  </si>
  <si>
    <t>Sosimo Roig Bayo</t>
  </si>
  <si>
    <t>Abel Carrasco-Belda</t>
  </si>
  <si>
    <t>Alicia Celestina Ibáñez Santana</t>
  </si>
  <si>
    <t>Conrado Torre</t>
  </si>
  <si>
    <t>Leoncio Pombo Nadal</t>
  </si>
  <si>
    <t>Marcia Tomas</t>
  </si>
  <si>
    <t>Aurelia del Ocaña</t>
  </si>
  <si>
    <t>Porfirio Cases Fabregat</t>
  </si>
  <si>
    <t>Maristela Mármol</t>
  </si>
  <si>
    <t>Leticia Azorin Cortina</t>
  </si>
  <si>
    <t>Régulo de Sacristán</t>
  </si>
  <si>
    <t>Esteban del Múñiz</t>
  </si>
  <si>
    <t>Trinidad Exposito Abella</t>
  </si>
  <si>
    <t>Pánfilo Ortiz Pardo</t>
  </si>
  <si>
    <t>Glauco Llorens Álvarez</t>
  </si>
  <si>
    <t>Susanita Zaragoza Higueras</t>
  </si>
  <si>
    <t>Ileana Asunción Beltran Samper</t>
  </si>
  <si>
    <t>Chus Merino Casas</t>
  </si>
  <si>
    <t>Carmina Cervera</t>
  </si>
  <si>
    <t>Curro Coello Izaguirre</t>
  </si>
  <si>
    <t>Mario Roldán</t>
  </si>
  <si>
    <t>Jesusa Fuentes</t>
  </si>
  <si>
    <t>Óscar Dominguez Mayol</t>
  </si>
  <si>
    <t>Angelino Contreras Pi</t>
  </si>
  <si>
    <t>Rafa Camino Perelló</t>
  </si>
  <si>
    <t>Aura Vidal-Roma</t>
  </si>
  <si>
    <t>Lara Jordana Ballester Lladó</t>
  </si>
  <si>
    <t>Aníbal Castelló Sarabia</t>
  </si>
  <si>
    <t>Adriana Higueras Ribes</t>
  </si>
  <si>
    <t>Ernesto Cuadrado Mesa</t>
  </si>
  <si>
    <t>Estela Ponce-Losada</t>
  </si>
  <si>
    <t>Luis Miguel del Tapia</t>
  </si>
  <si>
    <t>Elpidio Agullo Tejero</t>
  </si>
  <si>
    <t>María Carmen Ródenas Acosta</t>
  </si>
  <si>
    <t>Lucas Vendrell Valverde</t>
  </si>
  <si>
    <t>Gerardo Tomé Real</t>
  </si>
  <si>
    <t>Elías Sacristán Vázquez</t>
  </si>
  <si>
    <t>Victoriano Valencia Coloma</t>
  </si>
  <si>
    <t>Vera Ribes-Cases</t>
  </si>
  <si>
    <t>Ligia Moya Calleja</t>
  </si>
  <si>
    <t>Evangelina Barragán Castell</t>
  </si>
  <si>
    <t>Florencia Domitila Castell Mendizábal</t>
  </si>
  <si>
    <t>Javier Arellano-Murcia</t>
  </si>
  <si>
    <t>Aurelia Sans Oller</t>
  </si>
  <si>
    <t>Teodora Jerez Tormo</t>
  </si>
  <si>
    <t>Cornelio Noguera Lluch</t>
  </si>
  <si>
    <t>Carla Serna Montalbán</t>
  </si>
  <si>
    <t>Macarena Valeria Feliu Mayol</t>
  </si>
  <si>
    <t>Jacinta Paz Domingo Rivas</t>
  </si>
  <si>
    <t>Victor Manuel Tejedor Nevado</t>
  </si>
  <si>
    <t>Blanca Molina Francisco</t>
  </si>
  <si>
    <t>Jonatan Fonseca Quevedo</t>
  </si>
  <si>
    <t>Humberto Vila</t>
  </si>
  <si>
    <t>Isaura Fuentes Guardiola</t>
  </si>
  <si>
    <t>Rufina Vargas Andres</t>
  </si>
  <si>
    <t>Reinaldo Barral Lago</t>
  </si>
  <si>
    <t>Jose Ignacio Vila-Rios</t>
  </si>
  <si>
    <t>Roberto Cánovas Segura</t>
  </si>
  <si>
    <t>Rómulo Ortega-Giner</t>
  </si>
  <si>
    <t>Gastón Leon Solana</t>
  </si>
  <si>
    <t>Emilia Jove-Ropero</t>
  </si>
  <si>
    <t>Calixto Pinedo Torrijos</t>
  </si>
  <si>
    <t>Ciro Ledesma Bru</t>
  </si>
  <si>
    <t>Dora del Segarra</t>
  </si>
  <si>
    <t>Juan Bautista de Salazar</t>
  </si>
  <si>
    <t>Narciso del Anaya</t>
  </si>
  <si>
    <t>Martirio Reina Malo Alonso</t>
  </si>
  <si>
    <t>Maximiliano Maestre Mendizábal</t>
  </si>
  <si>
    <t>Noa Dominguez-Llorente</t>
  </si>
  <si>
    <t>Miguel Mur Cruz</t>
  </si>
  <si>
    <t>Gala Gimenez-Lasa</t>
  </si>
  <si>
    <t>Saturnino Palacios Lamas</t>
  </si>
  <si>
    <t>Ariel Castellanos Bauzà</t>
  </si>
  <si>
    <t>Trinidad Salas Gimenez</t>
  </si>
  <si>
    <t>Adalberto del Seco</t>
  </si>
  <si>
    <t>Eustaquio Palacios Francisco</t>
  </si>
  <si>
    <t>Susana Castro Ruiz</t>
  </si>
  <si>
    <t>Emelina Melisa Palau Seco</t>
  </si>
  <si>
    <t>Sandalio Baeza Grande</t>
  </si>
  <si>
    <t>Gregorio Guerrero Palomino</t>
  </si>
  <si>
    <t>Socorro de Higueras</t>
  </si>
  <si>
    <t>Otilia Viana Torres</t>
  </si>
  <si>
    <t>Luís Guzman Alsina</t>
  </si>
  <si>
    <t>Julie Rosa Lumbreras</t>
  </si>
  <si>
    <t>Samu Paulino Fabra Galvez</t>
  </si>
  <si>
    <t>Vicente Egea Sanchez</t>
  </si>
  <si>
    <t>Juan Carlos del Cordero</t>
  </si>
  <si>
    <t>Carla Blanes España</t>
  </si>
  <si>
    <t>Toribio Herranz Jurado</t>
  </si>
  <si>
    <t>América Rosell Ferrándiz</t>
  </si>
  <si>
    <t>Inés Calderon Suarez</t>
  </si>
  <si>
    <t>Trinidad Leiva Ribera</t>
  </si>
  <si>
    <t>Luisa Saldaña Piñeiro</t>
  </si>
  <si>
    <t>Yago Diez Meléndez</t>
  </si>
  <si>
    <t>Alberto Rius Rius</t>
  </si>
  <si>
    <t>Beatriz Jimenez Antón</t>
  </si>
  <si>
    <t>Adolfo Gaya Canales</t>
  </si>
  <si>
    <t>Teófilo de Nuñez</t>
  </si>
  <si>
    <t>Bruno Cabezas Cordero</t>
  </si>
  <si>
    <t>Pepe Juanito Adán Anaya</t>
  </si>
  <si>
    <t>Isabela Solé Nuñez</t>
  </si>
  <si>
    <t>Amaya Izquierdo Gonzalo</t>
  </si>
  <si>
    <t>Gervasio del Galán</t>
  </si>
  <si>
    <t>Isaac Pujol-Yáñez</t>
  </si>
  <si>
    <t>Valerio Valentín Céspedes</t>
  </si>
  <si>
    <t>Cleto Benito Mendizábal</t>
  </si>
  <si>
    <t>Erasmo Cabeza Martinez</t>
  </si>
  <si>
    <t>Quirino Rosario Vázquez Carvajal</t>
  </si>
  <si>
    <t>Marcos Alcántara Codina</t>
  </si>
  <si>
    <t>Paloma Abascal Lledó</t>
  </si>
  <si>
    <t>Ana Sofía Nadal-Campo</t>
  </si>
  <si>
    <t>Estela Cases Peral</t>
  </si>
  <si>
    <t>Borja Díez-Zorrilla</t>
  </si>
  <si>
    <t>Eva María de Bertrán</t>
  </si>
  <si>
    <t>Elena del Tomé</t>
  </si>
  <si>
    <t>Iván de Manzanares</t>
  </si>
  <si>
    <t>Adelina Roma Feijoo</t>
  </si>
  <si>
    <t>Joel Estévez</t>
  </si>
  <si>
    <t>Úrsula Anabel Expósito Vazquez</t>
  </si>
  <si>
    <t>Manuelita Gilabert Manjón</t>
  </si>
  <si>
    <t>Amparo Galván Polo</t>
  </si>
  <si>
    <t>Amparo del Ayuso</t>
  </si>
  <si>
    <t>Angélica del Ortuño</t>
  </si>
  <si>
    <t>Amalia Itziar Sebastián Revilla</t>
  </si>
  <si>
    <t>América Morán Peñalver</t>
  </si>
  <si>
    <t>Elisa de Chaparro</t>
  </si>
  <si>
    <t>Nieves Lladó</t>
  </si>
  <si>
    <t>Juan Antonio Benet</t>
  </si>
  <si>
    <t>Gustavo Barberá Frías</t>
  </si>
  <si>
    <t>Eliana Pacheco Ponce</t>
  </si>
  <si>
    <t>Dalila Pino Verdú</t>
  </si>
  <si>
    <t>Marciano Díaz</t>
  </si>
  <si>
    <t>Timoteo Pinilla Calderón</t>
  </si>
  <si>
    <t>Malena Roma Barrena</t>
  </si>
  <si>
    <t>Silvia León Duque</t>
  </si>
  <si>
    <t>Ema del Garrido</t>
  </si>
  <si>
    <t>Eva González Cano</t>
  </si>
  <si>
    <t>Eutropio Sedano Cabanillas</t>
  </si>
  <si>
    <t>Dafne Cerdán Pujol</t>
  </si>
  <si>
    <t>Óscar de Mascaró</t>
  </si>
  <si>
    <t>Catalina Peralta Patiño</t>
  </si>
  <si>
    <t>Bárbara Elorza Jordá</t>
  </si>
  <si>
    <t>Loreto Burgos</t>
  </si>
  <si>
    <t>Estela Marquez Arce</t>
  </si>
  <si>
    <t>Paloma Segarra Menéndez</t>
  </si>
  <si>
    <t>Claudio Maximino Cobos Córdoba</t>
  </si>
  <si>
    <t>Josefina Rey Meléndez</t>
  </si>
  <si>
    <t>Nilda de Garrido</t>
  </si>
  <si>
    <t>Gregorio Llabrés-Rebollo</t>
  </si>
  <si>
    <t>Edmundo de Marco</t>
  </si>
  <si>
    <t>Amaya Ruiz Campoy</t>
  </si>
  <si>
    <t>Nacio Perera Lerma</t>
  </si>
  <si>
    <t>Damián Vicens Cabrera</t>
  </si>
  <si>
    <t>Marcela Teófila Arnal Lasa</t>
  </si>
  <si>
    <t>Reina Losada Alfonso</t>
  </si>
  <si>
    <t>Isa Arenas Mariscal</t>
  </si>
  <si>
    <t>Morena Roura</t>
  </si>
  <si>
    <t>Odalys Benítez</t>
  </si>
  <si>
    <t>Emma del Amor</t>
  </si>
  <si>
    <t>Seve Villanueva Anaya</t>
  </si>
  <si>
    <t>Montserrat Armas Salamanca</t>
  </si>
  <si>
    <t>Ildefonso Feliu Esteban</t>
  </si>
  <si>
    <t>Ligia Ocaña Arregui</t>
  </si>
  <si>
    <t>Sarita Neira Toro</t>
  </si>
  <si>
    <t>Timoteo Pacheco Pozo</t>
  </si>
  <si>
    <t>Ester Anabel Fabregat Nuñez</t>
  </si>
  <si>
    <t>Rosenda Villanueva Herrera</t>
  </si>
  <si>
    <t>Ariel Gallego Diego</t>
  </si>
  <si>
    <t>Juliana Alarcón Molins</t>
  </si>
  <si>
    <t>Catalina Méndez</t>
  </si>
  <si>
    <t>Susanita Pascual Salamanca</t>
  </si>
  <si>
    <t>Dimas Rafael Polo Bravo</t>
  </si>
  <si>
    <t>Anabel Pou Lasa</t>
  </si>
  <si>
    <t>Nadia Natividad Marco Flores</t>
  </si>
  <si>
    <t>Máximo Téllez Ferrera</t>
  </si>
  <si>
    <t>Gala Clarisa Ballesteros Llopis</t>
  </si>
  <si>
    <t>Amancio Aliaga Sierra</t>
  </si>
  <si>
    <t>César Nogués Tomás</t>
  </si>
  <si>
    <t>Brígida Jove Carretero</t>
  </si>
  <si>
    <t>Vito del Abad</t>
  </si>
  <si>
    <t>Nayara Fanny Juliá Sierra</t>
  </si>
  <si>
    <t>Isidoro Salas Marqués</t>
  </si>
  <si>
    <t>Vicente Palomino Adadia</t>
  </si>
  <si>
    <t>Sandalio de Figueroa</t>
  </si>
  <si>
    <t>Elodia Pinto</t>
  </si>
  <si>
    <t>Felipe Carro Ramis</t>
  </si>
  <si>
    <t>Ana Belén Alvarado Bueno</t>
  </si>
  <si>
    <t>Marisela Sanmiguel Pedraza</t>
  </si>
  <si>
    <t>Jesusa Benavente Ferrández</t>
  </si>
  <si>
    <t>Alonso Díaz Donoso</t>
  </si>
  <si>
    <t>Filomena Pombo Pla</t>
  </si>
  <si>
    <t>Cristóbal Cabello-Pol</t>
  </si>
  <si>
    <t>Maribel Murillo Alcaraz</t>
  </si>
  <si>
    <t>Mayte Cuesta Acosta</t>
  </si>
  <si>
    <t>Remigio Villalonga Roman</t>
  </si>
  <si>
    <t>Vanesa Villaverde</t>
  </si>
  <si>
    <t>Maristela Corbacho Alegria</t>
  </si>
  <si>
    <t>Manuelita Cervera Botella</t>
  </si>
  <si>
    <t>Borja Canet Gallo</t>
  </si>
  <si>
    <t>Clotilde Chita Fábregas Toro</t>
  </si>
  <si>
    <t>Olimpia Girona Paredes</t>
  </si>
  <si>
    <t>Rubén de Arribas</t>
  </si>
  <si>
    <t>Édgar Manu Suárez Anglada</t>
  </si>
  <si>
    <t>Luna Morcillo Carretero</t>
  </si>
  <si>
    <t>Eladio Salcedo Cabanillas</t>
  </si>
  <si>
    <t>Gisela Cámara Duarte</t>
  </si>
  <si>
    <t>Nicanor de Moliner</t>
  </si>
  <si>
    <t>Rosario Paz Figueroa</t>
  </si>
  <si>
    <t>Gloria Esteve Perez</t>
  </si>
  <si>
    <t>Alexandra Pedrosa Asensio</t>
  </si>
  <si>
    <t>Lucho Lucio Gallart Bartolomé</t>
  </si>
  <si>
    <t>Lola Vanesa Roda Verdejo</t>
  </si>
  <si>
    <t>Alejandra Alvarado-Rocamora</t>
  </si>
  <si>
    <t>Cristina Navas Sanz</t>
  </si>
  <si>
    <t>Desiderio Vizcaíno Seguí</t>
  </si>
  <si>
    <t>Nélida Gallart Ochoa</t>
  </si>
  <si>
    <t>Áurea Sandoval Robles</t>
  </si>
  <si>
    <t>Bibiana Azcona</t>
  </si>
  <si>
    <t>Marcos Arnal Sola</t>
  </si>
  <si>
    <t>Soledad Ani Garrido Duran</t>
  </si>
  <si>
    <t>Rodolfo Duilio Terrón Serrano</t>
  </si>
  <si>
    <t>Carolina Ferreras Bolaños</t>
  </si>
  <si>
    <t>Eladio Querol</t>
  </si>
  <si>
    <t>Irene Orozco Millán</t>
  </si>
  <si>
    <t>Yago Heredia Francisco</t>
  </si>
  <si>
    <t>Hernán Diego Ferreras</t>
  </si>
  <si>
    <t>Darío Severino Falcón Rodríguez</t>
  </si>
  <si>
    <t>Eli Rovira Busquets</t>
  </si>
  <si>
    <t>Remedios Barbero Calderón</t>
  </si>
  <si>
    <t>Telmo Azcona Huerta</t>
  </si>
  <si>
    <t>Jose Luis Salgado Monreal</t>
  </si>
  <si>
    <t>Maximiliano Ferrer Solé</t>
  </si>
  <si>
    <t>Seve Pellicer Arévalo</t>
  </si>
  <si>
    <t>Poncio Gallart Cano</t>
  </si>
  <si>
    <t>Abril Morante-Portero</t>
  </si>
  <si>
    <t>Alondra Arroyo Moraleda</t>
  </si>
  <si>
    <t>Nando Neira Garcia</t>
  </si>
  <si>
    <t>Soraya Puig Estrada</t>
  </si>
  <si>
    <t>Teresita Ferrera Bernat</t>
  </si>
  <si>
    <t>Ignacio Mendez Casanovas</t>
  </si>
  <si>
    <t>Isabel Bayo Sanchez</t>
  </si>
  <si>
    <t>Ligia Linares Isern</t>
  </si>
  <si>
    <t>Simón Gaya Vallejo</t>
  </si>
  <si>
    <t>Chus Larrañaga Hernando</t>
  </si>
  <si>
    <t>Ángeles Arévalo Balaguer</t>
  </si>
  <si>
    <t>Benito Juan Francisco Aramburu Fiol</t>
  </si>
  <si>
    <t>Amaya Valderrama Gomis</t>
  </si>
  <si>
    <t>Beatriz Rodriguez Iborra</t>
  </si>
  <si>
    <t>Amílcar Ortega Gallo</t>
  </si>
  <si>
    <t>Seve Laguna-Bas</t>
  </si>
  <si>
    <t>Francisco Javier Coloma</t>
  </si>
  <si>
    <t>Erasmo Crespo Gallego</t>
  </si>
  <si>
    <t>Octavio Perelló-Losada</t>
  </si>
  <si>
    <t>Camila Leticia Arévalo Cuenca</t>
  </si>
  <si>
    <t>Áurea Manuela Piñol Bernal</t>
  </si>
  <si>
    <t>Carina Arcos Vara</t>
  </si>
  <si>
    <t>Yago Baró Garmendia</t>
  </si>
  <si>
    <t>Antonio Folch Grande</t>
  </si>
  <si>
    <t>Jose Ramón de Aguilera</t>
  </si>
  <si>
    <t>Dulce Caridad Rojas Ángel</t>
  </si>
  <si>
    <t>Cruz Benítez</t>
  </si>
  <si>
    <t>Fabio Carnero Boix</t>
  </si>
  <si>
    <t>Nayara Casanovas Alarcón</t>
  </si>
  <si>
    <t>Miguel Villegas Jover</t>
  </si>
  <si>
    <t>Ildefonso Guillén Arrieta</t>
  </si>
  <si>
    <t>Jose Ignacio Armas Ramírez</t>
  </si>
  <si>
    <t>María Jesús Celestina Casas Carrasco</t>
  </si>
  <si>
    <t>Mamen Ledesma Escribano</t>
  </si>
  <si>
    <t>Ambrosio Casanovas Piquer</t>
  </si>
  <si>
    <t>Joan Ferrán Alegria</t>
  </si>
  <si>
    <t>Vasco Tamayo Barrio</t>
  </si>
  <si>
    <t>Leire Aroa Alfaro Olmo</t>
  </si>
  <si>
    <t>Felix Guardia Arenas</t>
  </si>
  <si>
    <t>Gloria Dalmau-Bolaños</t>
  </si>
  <si>
    <t>Eliana Solsona Girón</t>
  </si>
  <si>
    <t>Liliana Valdés Bilbao</t>
  </si>
  <si>
    <t>Tomasa Feijoo Alvarado</t>
  </si>
  <si>
    <t>José Ángel Vélez Vila</t>
  </si>
  <si>
    <t>Pío Roma-Estevez</t>
  </si>
  <si>
    <t>Amelia Tello-Toledo</t>
  </si>
  <si>
    <t>Roberta de Lamas</t>
  </si>
  <si>
    <t>Primitivo Melero Daza</t>
  </si>
  <si>
    <t>Benigno Sanz Gomis</t>
  </si>
  <si>
    <t>Reyna Rivas Porcel</t>
  </si>
  <si>
    <t>Olivia Goñi</t>
  </si>
  <si>
    <t>Isaac Morcillo-Calvo</t>
  </si>
  <si>
    <t>Asdrubal Franco Montaña</t>
  </si>
  <si>
    <t>Alexandra Ámbar Armengol Campos</t>
  </si>
  <si>
    <t>Calisto Menéndez</t>
  </si>
  <si>
    <t>Graciana Cintia Iñiguez Heras</t>
  </si>
  <si>
    <t>Mayte Duarte Alfonso</t>
  </si>
  <si>
    <t>María Teresa Llamas Mariño</t>
  </si>
  <si>
    <t>Federico Pizarro Coello</t>
  </si>
  <si>
    <t>Pacífica Córdoba</t>
  </si>
  <si>
    <t>Rosa Jiménez-Galvez</t>
  </si>
  <si>
    <t>Martirio Bonet</t>
  </si>
  <si>
    <t>Ruy Roldan Lara</t>
  </si>
  <si>
    <t>Felisa Múgica Gomez</t>
  </si>
  <si>
    <t>Anselma Valentín Malo</t>
  </si>
  <si>
    <t>Lino de Busquets</t>
  </si>
  <si>
    <t>Sandra Leiva Aguiló</t>
  </si>
  <si>
    <t>Federico Gutiérrez Tamarit</t>
  </si>
  <si>
    <t>Aristides Exposito Sánchez</t>
  </si>
  <si>
    <t>Claudia Ibañez Peñas</t>
  </si>
  <si>
    <t>Roque Bejarano</t>
  </si>
  <si>
    <t>Sergio Font Mínguez</t>
  </si>
  <si>
    <t>Luisina Chus Acosta Losa</t>
  </si>
  <si>
    <t>Eusebia Torre Dalmau</t>
  </si>
  <si>
    <t>Pedro Sancho-Garrido</t>
  </si>
  <si>
    <t>Blanca Lluch Gonzalo</t>
  </si>
  <si>
    <t>Benito Aranda Olivera</t>
  </si>
  <si>
    <t>Juan Lerma Melero</t>
  </si>
  <si>
    <t>Nayara Fuster Cuesta</t>
  </si>
  <si>
    <t>Maricela Mendizábal-Tejera</t>
  </si>
  <si>
    <t>Silvio Ledesma Planas</t>
  </si>
  <si>
    <t>Ovidio García Gabaldón</t>
  </si>
  <si>
    <t>Marina Gisbert Huertas</t>
  </si>
  <si>
    <t>Nazaret Pina Solé</t>
  </si>
  <si>
    <t>Valentina del Diaz</t>
  </si>
  <si>
    <t>José Antonio Lluch Gutiérrez</t>
  </si>
  <si>
    <t>María Belén Ortega Alvarez</t>
  </si>
  <si>
    <t>Manuelita Barroso-Coloma</t>
  </si>
  <si>
    <t>Carmelo Valentín Mancebo</t>
  </si>
  <si>
    <t>Jose Ramón Nicolás Marco</t>
  </si>
  <si>
    <t>Ruben del Azorin</t>
  </si>
  <si>
    <t>Jordana Riba</t>
  </si>
  <si>
    <t>Brunilda Giralt</t>
  </si>
  <si>
    <t>Jose Valenciano Osuna</t>
  </si>
  <si>
    <t>Inés Gil-Miralles</t>
  </si>
  <si>
    <t>Pío del Lastra</t>
  </si>
  <si>
    <t>Amílcar Valera</t>
  </si>
  <si>
    <t>Laura del Hernandez</t>
  </si>
  <si>
    <t>Encarnación Iborra</t>
  </si>
  <si>
    <t>Nicolasa de Verdugo</t>
  </si>
  <si>
    <t>Evaristo Loreto Ferrer Mariño</t>
  </si>
  <si>
    <t>Esmeralda Visitación Menéndez Alemán</t>
  </si>
  <si>
    <t>Manuel Melero Palomo</t>
  </si>
  <si>
    <t>Paca Verdejo Mayoral</t>
  </si>
  <si>
    <t>Regina del Parejo</t>
  </si>
  <si>
    <t>Águeda Giménez Serna</t>
  </si>
  <si>
    <t>Anastasio Montesinos García</t>
  </si>
  <si>
    <t>Marisela Quintero Quintero</t>
  </si>
  <si>
    <t>Isaac Espada Madrigal</t>
  </si>
  <si>
    <t>Luciana Gaya Álvaro</t>
  </si>
  <si>
    <t>Samanta Olmedo</t>
  </si>
  <si>
    <t>Osvaldo Atilio Jover Herrera</t>
  </si>
  <si>
    <t>Tere Montenegro Expósito</t>
  </si>
  <si>
    <t>Nicodemo Alegre-Izquierdo</t>
  </si>
  <si>
    <t>Adelardo Chico-Cuesta</t>
  </si>
  <si>
    <t>Dorotea Diez Aznar</t>
  </si>
  <si>
    <t>Donato Noguera Mármol</t>
  </si>
  <si>
    <t>María Del Carmen Benítez-Lozano</t>
  </si>
  <si>
    <t>Roxana Sanjuan Nieto</t>
  </si>
  <si>
    <t>Primitiva Villalba Valenciano</t>
  </si>
  <si>
    <t>Aura Manzano Pedrero</t>
  </si>
  <si>
    <t>Sabas Macario Murcia Quintanilla</t>
  </si>
  <si>
    <t>Apolinar Falcón-Cadenas</t>
  </si>
  <si>
    <t>Horacio Gallego Matas</t>
  </si>
  <si>
    <t>Curro Cañellas-Abad</t>
  </si>
  <si>
    <t>Julio Corominas</t>
  </si>
  <si>
    <t>Dominga Olmedo Lara</t>
  </si>
  <si>
    <t>Norberto Cortés Coca</t>
  </si>
  <si>
    <t>Juana Valls Ruiz</t>
  </si>
  <si>
    <t>Inés García Nevado</t>
  </si>
  <si>
    <t>Marianela Pablo Samper</t>
  </si>
  <si>
    <t>Azahar Solsona</t>
  </si>
  <si>
    <t>Patricia Leon Grande</t>
  </si>
  <si>
    <t>Inmaculada Moles-Verdú</t>
  </si>
  <si>
    <t>Piedad Casanova</t>
  </si>
  <si>
    <t>Dafne Amigó-Arias</t>
  </si>
  <si>
    <t>Anabel Tur Llorens</t>
  </si>
  <si>
    <t>Danilo Jose Antonio Escobar Muro</t>
  </si>
  <si>
    <t>Aura Salcedo Vigil</t>
  </si>
  <si>
    <t>Ramiro Cepeda Casanova</t>
  </si>
  <si>
    <t>Nadia Tormo</t>
  </si>
  <si>
    <t>Paola González Piquer</t>
  </si>
  <si>
    <t>Remedios Quesada Heredia</t>
  </si>
  <si>
    <t>Andrés Cortés Fuertes</t>
  </si>
  <si>
    <t>María Ángeles Infante-Cabanillas</t>
  </si>
  <si>
    <t>Heliodoro Antonio Baena Tejada</t>
  </si>
  <si>
    <t>Belen Carballo Lladó</t>
  </si>
  <si>
    <t>Quique Márquez Torralba</t>
  </si>
  <si>
    <t>Felicidad Amor Cerdán</t>
  </si>
  <si>
    <t>Esteban de Serrano</t>
  </si>
  <si>
    <t>Eligia Javiera Lladó Pla</t>
  </si>
  <si>
    <t>Nidia Ordóñez Cañas</t>
  </si>
  <si>
    <t>Adelaida de Egea</t>
  </si>
  <si>
    <t>Dalila Torre Amores</t>
  </si>
  <si>
    <t>Roldán Guardia</t>
  </si>
  <si>
    <t>Gabino Barragán Figueroa</t>
  </si>
  <si>
    <t>Amanda Chamorro-Vives</t>
  </si>
  <si>
    <t>José Cañas Martinez</t>
  </si>
  <si>
    <t>Benita Exposito Mínguez</t>
  </si>
  <si>
    <t>Nerea de Portero</t>
  </si>
  <si>
    <t>Benjamín de Palau</t>
  </si>
  <si>
    <t>Cristina Arranz-Muro</t>
  </si>
  <si>
    <t>Lupe Pellicer Marco</t>
  </si>
  <si>
    <t>Cándida Pinedo Dalmau</t>
  </si>
  <si>
    <t>Carmelita Antón Escalona</t>
  </si>
  <si>
    <t>Felicidad Macias Vall</t>
  </si>
  <si>
    <t>Fanny Cortes Palacios</t>
  </si>
  <si>
    <t>Eusebio Barros Guardia</t>
  </si>
  <si>
    <t>Leocadio Requena-Barriga</t>
  </si>
  <si>
    <t>Abril Feijoo-Goñi</t>
  </si>
  <si>
    <t>Luciano Agustí López</t>
  </si>
  <si>
    <t>Carlos Flores Nevado</t>
  </si>
  <si>
    <t>Pastora Galán Mariño</t>
  </si>
  <si>
    <t>Corona Aitana Julián Salvà</t>
  </si>
  <si>
    <t>Jerónimo Peinado-Morales</t>
  </si>
  <si>
    <t>Nicanor García Perez</t>
  </si>
  <si>
    <t>Lisandro Guillermo Delgado Porcel</t>
  </si>
  <si>
    <t>Natanael Vallés Prieto</t>
  </si>
  <si>
    <t>Xiomara Sáenz Batalla</t>
  </si>
  <si>
    <t>Santos Zurita Barrio</t>
  </si>
  <si>
    <t>Isidro Rozas Gámez</t>
  </si>
  <si>
    <t>Patricia Raquel Carnero Agullo</t>
  </si>
  <si>
    <t>Patricio Alberola Sandoval</t>
  </si>
  <si>
    <t>Bibiana Barrio</t>
  </si>
  <si>
    <t>Lucila del Coronado</t>
  </si>
  <si>
    <t>Danilo Matas Vicente</t>
  </si>
  <si>
    <t>Duilio Lucas Feliu</t>
  </si>
  <si>
    <t>José Reyes Leal</t>
  </si>
  <si>
    <t>Nicolás Pascual Gabaldón Paniagua</t>
  </si>
  <si>
    <t>Gonzalo Barberá Gimeno</t>
  </si>
  <si>
    <t>Marco Sanchez Yuste</t>
  </si>
  <si>
    <t>Alejandra Olivera</t>
  </si>
  <si>
    <t>Sandra Leiva Planas</t>
  </si>
  <si>
    <t>Sigfrido Urrutia Vargas</t>
  </si>
  <si>
    <t>Nydia Ureña Serrano</t>
  </si>
  <si>
    <t>Etelvina Tolosa Exposito</t>
  </si>
  <si>
    <t>Adriana Gilabert Bravo</t>
  </si>
  <si>
    <t>Juan José Giménez Calzada</t>
  </si>
  <si>
    <t>Emiliana Marti Manso</t>
  </si>
  <si>
    <t>Adora Solera Juliá</t>
  </si>
  <si>
    <t>Sancho Arregui Ibañez</t>
  </si>
  <si>
    <t>Sonia Pacífica Aranda Durán</t>
  </si>
  <si>
    <t>Aitor Pelayo Tello</t>
  </si>
  <si>
    <t>Juana Losa Villar</t>
  </si>
  <si>
    <t>Goyo Ríos Guerra</t>
  </si>
  <si>
    <t>Rufino Beltran-Torralba</t>
  </si>
  <si>
    <t>Apolonia Pareja Real</t>
  </si>
  <si>
    <t>Herminia Samper Sureda</t>
  </si>
  <si>
    <t>Loida Morera</t>
  </si>
  <si>
    <t>Milagros Cadenas</t>
  </si>
  <si>
    <t>Ema Saura</t>
  </si>
  <si>
    <t>Angelino Ibañez Bonet</t>
  </si>
  <si>
    <t>Candelas Gutierrez Solana</t>
  </si>
  <si>
    <t>Lucio Figuerola-Lorenzo</t>
  </si>
  <si>
    <t>Benita Ramírez Ribera</t>
  </si>
  <si>
    <t>Zaida Tovar Tolosa</t>
  </si>
  <si>
    <t>Héctor Puga Tudela</t>
  </si>
  <si>
    <t>Adelina Carmona Bayo</t>
  </si>
  <si>
    <t>Carmelita Tejedor Casas</t>
  </si>
  <si>
    <t>Bernarda Quero Córdoba</t>
  </si>
  <si>
    <t>Evita Alfaro Miguel</t>
  </si>
  <si>
    <t>Lidia Reyes Carbajo Pla</t>
  </si>
  <si>
    <t>Carlota Rosell Baños</t>
  </si>
  <si>
    <t>Fausto Montero Sanmartín</t>
  </si>
  <si>
    <t>Lalo Castellanos Rueda</t>
  </si>
  <si>
    <t>Sabina Jover-Mendoza</t>
  </si>
  <si>
    <t>Nuria Mur</t>
  </si>
  <si>
    <t>Feliciana Gutierrez Mora</t>
  </si>
  <si>
    <t>Jerónimo Vidal Hernandez</t>
  </si>
  <si>
    <t>Fortunata Jordán</t>
  </si>
  <si>
    <t>Manu Céspedes Corominas</t>
  </si>
  <si>
    <t>Áurea Guzman</t>
  </si>
  <si>
    <t>Modesta Lledó Izquierdo</t>
  </si>
  <si>
    <t>Telmo Lastra-Cuervo</t>
  </si>
  <si>
    <t>Iris Camino-Briones</t>
  </si>
  <si>
    <t>Clarisa Belda Cid</t>
  </si>
  <si>
    <t>Petrona Palau Soto</t>
  </si>
  <si>
    <t>Cándido Alcázar Canales</t>
  </si>
  <si>
    <t>Jose Carlos Lopez Lledó</t>
  </si>
  <si>
    <t>Adoración de Casanova</t>
  </si>
  <si>
    <t>Gregorio Salamanca</t>
  </si>
  <si>
    <t>Miguel Llopis</t>
  </si>
  <si>
    <t>Eutimio Gilberto Pagès Ricart</t>
  </si>
  <si>
    <t>Anita Roca-Soler</t>
  </si>
  <si>
    <t>Adalberto Gomis-Bello</t>
  </si>
  <si>
    <t>Paz Giner Reig</t>
  </si>
  <si>
    <t>Horacio Cuéllar Escobar</t>
  </si>
  <si>
    <t>Urbano Real-Tolosa</t>
  </si>
  <si>
    <t>Curro Segarra Peinado</t>
  </si>
  <si>
    <t>Clemente Nevado</t>
  </si>
  <si>
    <t>Azucena Elías Heredia</t>
  </si>
  <si>
    <t>Nicolasa Villena-Saura</t>
  </si>
  <si>
    <t>Luis Miguel Amaya</t>
  </si>
  <si>
    <t>Salomé Pla Pons</t>
  </si>
  <si>
    <t>Nazaret Morán Escamilla</t>
  </si>
  <si>
    <t>Rafael Edu Zamorano Ochoa</t>
  </si>
  <si>
    <t>Sergio Salmerón Carreras</t>
  </si>
  <si>
    <t>Mamen del Carrasco</t>
  </si>
  <si>
    <t>Tecla Aparicio Boada</t>
  </si>
  <si>
    <t>Amado Rodríguez Girón</t>
  </si>
  <si>
    <t>Jordi Seco Cantón</t>
  </si>
  <si>
    <t>Manu Vega Girona</t>
  </si>
  <si>
    <t>Basilio Riquelme Gordillo</t>
  </si>
  <si>
    <t>Emiliano Marín</t>
  </si>
  <si>
    <t>Itziar de Castellanos</t>
  </si>
  <si>
    <t>Carmelita del Cabezas</t>
  </si>
  <si>
    <t>Rufina Ballester Llamas</t>
  </si>
  <si>
    <t>Obdulia Escribano</t>
  </si>
  <si>
    <t>Eli Montero</t>
  </si>
  <si>
    <t>Edelmiro Expósito Colomer</t>
  </si>
  <si>
    <t>Encarnacion Calderón-Olmedo</t>
  </si>
  <si>
    <t>Toribio Aller Parra</t>
  </si>
  <si>
    <t>Hugo Tamarit Hoz</t>
  </si>
  <si>
    <t>Renata del Alberola</t>
  </si>
  <si>
    <t>Prudencio Carreras Cobo</t>
  </si>
  <si>
    <t>Fabio de Arrieta</t>
  </si>
  <si>
    <t>Ciro Hernando Puga Patiño</t>
  </si>
  <si>
    <t>Efraín Anguita Torres</t>
  </si>
  <si>
    <t>Claudia Clemente Bertrán</t>
  </si>
  <si>
    <t>Brunilda Paredes-Fajardo</t>
  </si>
  <si>
    <t>Nicolás Moles Colomer</t>
  </si>
  <si>
    <t>Fátima Alemany Puerta</t>
  </si>
  <si>
    <t>Gabriela González Robles</t>
  </si>
  <si>
    <t>Norberto Cerdá-Fernández</t>
  </si>
  <si>
    <t>Mónica Colom Larrea</t>
  </si>
  <si>
    <t>Eusebio González Figuerola</t>
  </si>
  <si>
    <t>Isaac del Amaya</t>
  </si>
  <si>
    <t>Víctor Gisbert</t>
  </si>
  <si>
    <t>Paca Castell Viana</t>
  </si>
  <si>
    <t>Belen Zoraida Baró Lozano</t>
  </si>
  <si>
    <t>Pastor Fuente Arenas</t>
  </si>
  <si>
    <t>Amaro Quero Paredes</t>
  </si>
  <si>
    <t>Margarita del Coronado</t>
  </si>
  <si>
    <t>Calixto España Jove</t>
  </si>
  <si>
    <t>Sofía Mulet Benet</t>
  </si>
  <si>
    <t>Melania Ariadna Barceló Garcés</t>
  </si>
  <si>
    <t>Albina Dulce Nieto Ferrándiz</t>
  </si>
  <si>
    <t>Pepita Roig</t>
  </si>
  <si>
    <t>Marcela Leal Montes</t>
  </si>
  <si>
    <t>Paloma Salvà Carvajal</t>
  </si>
  <si>
    <t>Adelia Martí Bello</t>
  </si>
  <si>
    <t>Atilio Batalla Rios</t>
  </si>
  <si>
    <t>Felicia Novoa Cózar</t>
  </si>
  <si>
    <t>Petrona Guardia Céspedes</t>
  </si>
  <si>
    <t>Tito Oliveras-Mármol</t>
  </si>
  <si>
    <t>Urbano Plana Cornejo</t>
  </si>
  <si>
    <t>Anselma Rodriguez Bernad</t>
  </si>
  <si>
    <t>Adrián Fabra Viña</t>
  </si>
  <si>
    <t>Nicolasa Becerra Sánchez</t>
  </si>
  <si>
    <t>Ágata Carbajo Calvo</t>
  </si>
  <si>
    <t>Pepita Laura Lladó Franch</t>
  </si>
  <si>
    <t>Noemí Carpio Seco</t>
  </si>
  <si>
    <t>Edelmira Mosquera Recio</t>
  </si>
  <si>
    <t>Petrona Fonseca Martínez</t>
  </si>
  <si>
    <t>Fernando Peralta Arévalo</t>
  </si>
  <si>
    <t>Ariel Florencio Dávila Aramburu</t>
  </si>
  <si>
    <t>Magdalena Almansa Bayona</t>
  </si>
  <si>
    <t>Amancio Chuy Cañas Garcia</t>
  </si>
  <si>
    <t>Xiomara Albero Palomares</t>
  </si>
  <si>
    <t>Moreno del Armas</t>
  </si>
  <si>
    <t>Mayte Arjona Mir</t>
  </si>
  <si>
    <t>Elena Conde Alonso</t>
  </si>
  <si>
    <t>Celia Peinado Riquelme</t>
  </si>
  <si>
    <t>José Mas Diaz</t>
  </si>
  <si>
    <t>Marco del Almansa</t>
  </si>
  <si>
    <t>Ariel Martorell Quero</t>
  </si>
  <si>
    <t>Claudia Ibañez Macías</t>
  </si>
  <si>
    <t>Morena Llanos Dalmau</t>
  </si>
  <si>
    <t>Tecla Gertrudis Fortuny Santana</t>
  </si>
  <si>
    <t>Jose Francisco Martí Crespo</t>
  </si>
  <si>
    <t>Teresita Donaire Prieto</t>
  </si>
  <si>
    <t>Sofía Campillo Meléndez</t>
  </si>
  <si>
    <t>Paola Anastasia Peral Gracia</t>
  </si>
  <si>
    <t>Fabián Ojeda Duran</t>
  </si>
  <si>
    <t>Pascuala Conde-Amat</t>
  </si>
  <si>
    <t>Vicente de Manzano</t>
  </si>
  <si>
    <t>Serafina de Suárez</t>
  </si>
  <si>
    <t>Benita Susanita Segarra Comas</t>
  </si>
  <si>
    <t>Casemiro Aliaga Arce</t>
  </si>
  <si>
    <t>Renato Machado Pla</t>
  </si>
  <si>
    <t>Desiderio Mendoza Escobar</t>
  </si>
  <si>
    <t>Gerardo Bernat Barros</t>
  </si>
  <si>
    <t>Hugo Torrecilla Canals</t>
  </si>
  <si>
    <t>Mamen Ortega Ferrer</t>
  </si>
  <si>
    <t>Ciríaco del Ruano</t>
  </si>
  <si>
    <t>Reynaldo Gargallo Salcedo</t>
  </si>
  <si>
    <t>Blanca Quero Alcántara</t>
  </si>
  <si>
    <t>Concepción Catalán</t>
  </si>
  <si>
    <t>Carolina Bilbao Iñiguez</t>
  </si>
  <si>
    <t>Luisina Gonzalez Ferrán</t>
  </si>
  <si>
    <t>Filomena Larrañaga Andrade</t>
  </si>
  <si>
    <t>Marta Roldán-Galván</t>
  </si>
  <si>
    <t>Alma Valderrama Cortés</t>
  </si>
  <si>
    <t>Alcides Viana Benavente</t>
  </si>
  <si>
    <t>Santiago Garmendia Doménech</t>
  </si>
  <si>
    <t>Nerea Torrent-Valverde</t>
  </si>
  <si>
    <t>Ángeles del Higueras</t>
  </si>
  <si>
    <t>Octavio de Andrés</t>
  </si>
  <si>
    <t>Eligio Herrero-Canet</t>
  </si>
  <si>
    <t>Elías Carbonell Pareja</t>
  </si>
  <si>
    <t>Elvira Olmedo Girona</t>
  </si>
  <si>
    <t>Sosimo Landa Aragonés</t>
  </si>
  <si>
    <t>Clotilde del Osorio</t>
  </si>
  <si>
    <t>Alcides Tello Fernandez</t>
  </si>
  <si>
    <t>Sigfrido Simó Benavent</t>
  </si>
  <si>
    <t>Nerea Leon Puga</t>
  </si>
  <si>
    <t>David Ballesteros-Francisco</t>
  </si>
  <si>
    <t>Eva Araceli Marcos Cerdán</t>
  </si>
  <si>
    <t>Tecla Conesa</t>
  </si>
  <si>
    <t>Mayte Isern Gárate</t>
  </si>
  <si>
    <t>Ignacio Bauzà-Torrens</t>
  </si>
  <si>
    <t>Amor Estrada-Querol</t>
  </si>
  <si>
    <t>Gabino Aranda Godoy</t>
  </si>
  <si>
    <t>Gerónimo Asenjo</t>
  </si>
  <si>
    <t>Enrique Andreu Cueto</t>
  </si>
  <si>
    <t>Clara Cantón Farré</t>
  </si>
  <si>
    <t>Baudelio Asensio</t>
  </si>
  <si>
    <t>Pepita del Grau</t>
  </si>
  <si>
    <t>Alba Batalla Valls</t>
  </si>
  <si>
    <t>Bernardino Patiño Aguado</t>
  </si>
  <si>
    <t>Esteban Vaquero Dominguez</t>
  </si>
  <si>
    <t>Anacleto Tomás Torrecilla</t>
  </si>
  <si>
    <t>Severino Nicolau Vizcaíno</t>
  </si>
  <si>
    <t>Corona Feijoo Pi</t>
  </si>
  <si>
    <t>Rafaela Hurtado Reguera</t>
  </si>
  <si>
    <t>Zaira Calderón Ariño</t>
  </si>
  <si>
    <t>Aníbal Acero</t>
  </si>
  <si>
    <t>Leocadio Palomo Palomares</t>
  </si>
  <si>
    <t>Juan Carlos Delgado Durán</t>
  </si>
  <si>
    <t>Elvira Bravo-Cano</t>
  </si>
  <si>
    <t>Demetrio de Larrañaga</t>
  </si>
  <si>
    <t>Hernando Garay</t>
  </si>
  <si>
    <t>Isabela Roma Jurado</t>
  </si>
  <si>
    <t>Roberto Tomás-Bermúdez</t>
  </si>
  <si>
    <t>Yolanda Oliva Polo</t>
  </si>
  <si>
    <t>Rosendo Pinilla Bustamante</t>
  </si>
  <si>
    <t>Vanesa Celia Ibáñez Ferrer</t>
  </si>
  <si>
    <t>Albina de Fiol</t>
  </si>
  <si>
    <t>Georgina Arroyo Araujo</t>
  </si>
  <si>
    <t>Celestina Rodrigo Hidalgo</t>
  </si>
  <si>
    <t>Felicidad de Bernal</t>
  </si>
  <si>
    <t>Valeria Almansa-Bárcena</t>
  </si>
  <si>
    <t>Javier Cortina Grau</t>
  </si>
  <si>
    <t>Manolo Isidro Ros Salgado</t>
  </si>
  <si>
    <t>Concepción Bustamante</t>
  </si>
  <si>
    <t>Viviana Tur Asensio</t>
  </si>
  <si>
    <t>Emilia Valentín Coello</t>
  </si>
  <si>
    <t>Bárbara Arcos Cases</t>
  </si>
  <si>
    <t>Martín Giménez Herrera</t>
  </si>
  <si>
    <t>Gastón Real Barriga</t>
  </si>
  <si>
    <t>Estefanía Peñas</t>
  </si>
  <si>
    <t>Loreto Estrella Viñas Juan</t>
  </si>
  <si>
    <t>Emperatriz Quirós Aguirre</t>
  </si>
  <si>
    <t>Leocadio Escalona</t>
  </si>
  <si>
    <t>Carina Barroso Lopez</t>
  </si>
  <si>
    <t>Damián Tomas Solís</t>
  </si>
  <si>
    <t>Isaac Vallejo-Coll</t>
  </si>
  <si>
    <t>Fernanda Lozano Bastida</t>
  </si>
  <si>
    <t>Angélica Diego Cuéllar</t>
  </si>
  <si>
    <t>José Luis Lorenzo Losada</t>
  </si>
  <si>
    <t>María Sáenz Azorin</t>
  </si>
  <si>
    <t>Hernando Olmedo Seguí</t>
  </si>
  <si>
    <t>Mamen Chacón Crespo</t>
  </si>
  <si>
    <t>Morena Ros Estrada</t>
  </si>
  <si>
    <t>Berta Mena Rivas</t>
  </si>
  <si>
    <t>Carmen Alemany Bertrán</t>
  </si>
  <si>
    <t>Emilia Oliveras Granados</t>
  </si>
  <si>
    <t>Jaime Santiago Vazquez</t>
  </si>
  <si>
    <t>Clemente de Coloma</t>
  </si>
  <si>
    <t>Hilda del Tapia</t>
  </si>
  <si>
    <t>Espiridión Abril Marti</t>
  </si>
  <si>
    <t>Porfirio Cal Bru</t>
  </si>
  <si>
    <t>María Ángeles de Valbuena</t>
  </si>
  <si>
    <t>Darío Dávila</t>
  </si>
  <si>
    <t>Victor Manuel Sedano-Domingo</t>
  </si>
  <si>
    <t>Marcela Saura</t>
  </si>
  <si>
    <t>Rosalva Carreras Calatayud</t>
  </si>
  <si>
    <t>Ágata Bermúdez-Espejo</t>
  </si>
  <si>
    <t>Leire Bellido Carmona</t>
  </si>
  <si>
    <t>Consuela Emilia Cuenca Cerdán</t>
  </si>
  <si>
    <t>Juan Luis Ángel Alemany</t>
  </si>
  <si>
    <t>Nazaret Garrido Lladó</t>
  </si>
  <si>
    <t>Elena Pons</t>
  </si>
  <si>
    <t>Pilar Castells Fernández</t>
  </si>
  <si>
    <t>José María Jacobo Ojeda Montesinos</t>
  </si>
  <si>
    <t>Manolo de Pavón</t>
  </si>
  <si>
    <t>Cándido Beltrán Pino</t>
  </si>
  <si>
    <t>Apolonia del Real</t>
  </si>
  <si>
    <t>Zoraida Rovira Arce</t>
  </si>
  <si>
    <t>Elpidio Pont Expósito</t>
  </si>
  <si>
    <t>Joan Lobo-Haro</t>
  </si>
  <si>
    <t>Nayara Gimeno Velasco</t>
  </si>
  <si>
    <t>África del Conde</t>
  </si>
  <si>
    <t>Ángela Pinedo Vendrell</t>
  </si>
  <si>
    <t>Joan Fabregat Ochoa</t>
  </si>
  <si>
    <t>Cruz Tamayo-Carpio</t>
  </si>
  <si>
    <t>Pascual Pedro Ruiz</t>
  </si>
  <si>
    <t>Melisa Guitart</t>
  </si>
  <si>
    <t>Anacleto Caballero Ferrera</t>
  </si>
  <si>
    <t>Vicente Calleja</t>
  </si>
  <si>
    <t>Marco Ropero</t>
  </si>
  <si>
    <t>Cristian Baquero-Cánovas</t>
  </si>
  <si>
    <t>Josep Reina Prieto</t>
  </si>
  <si>
    <t>Florinda Anguita-Sancho</t>
  </si>
  <si>
    <t>Calixta Villaverde Acosta</t>
  </si>
  <si>
    <t>Marisela Milla-Martorell</t>
  </si>
  <si>
    <t>Rosendo Almeida Naranjo</t>
  </si>
  <si>
    <t>Ana Sofía Colomer Martín</t>
  </si>
  <si>
    <t>Rolando Caballero Niño</t>
  </si>
  <si>
    <t>Paola Casanovas-Riba</t>
  </si>
  <si>
    <t>Lupita del Sanjuan</t>
  </si>
  <si>
    <t>Modesto Franco Hervia</t>
  </si>
  <si>
    <t>Modesto Morante</t>
  </si>
  <si>
    <t>Clemente Ferrero Garmendia</t>
  </si>
  <si>
    <t>Guiomar Ferrera</t>
  </si>
  <si>
    <t>Araceli Borrell-Armas</t>
  </si>
  <si>
    <t>Jorge Gutierrez Caparrós</t>
  </si>
  <si>
    <t>Beatriz Mamen Casanovas Ruiz</t>
  </si>
  <si>
    <t>Vicenta Rivero Otero</t>
  </si>
  <si>
    <t>Vicenta Solé-Palma</t>
  </si>
  <si>
    <t>Alejandra Beltrán Fuente</t>
  </si>
  <si>
    <t>Ruperta Casanova Bermúdez</t>
  </si>
  <si>
    <t>Nicolás Ayala Campoy</t>
  </si>
  <si>
    <t>Leopoldo del Sáez</t>
  </si>
  <si>
    <t>Haroldo del Hoyos</t>
  </si>
  <si>
    <t>Juanita Pastora Escolano Marí</t>
  </si>
  <si>
    <t>Jenny Manuel Llorens</t>
  </si>
  <si>
    <t>Belén Cantero Uría</t>
  </si>
  <si>
    <t>Candela Grande Arenas</t>
  </si>
  <si>
    <t>Socorro Sans Pomares</t>
  </si>
  <si>
    <t>Nazaret Antúnez Rios</t>
  </si>
  <si>
    <t>Yago Teruel Palomino</t>
  </si>
  <si>
    <t>Lola Crespi Lobato</t>
  </si>
  <si>
    <t>Matías Agudo Ruiz</t>
  </si>
  <si>
    <t>Luisa Redondo Salom</t>
  </si>
  <si>
    <t>Isa Trillo Rozas</t>
  </si>
  <si>
    <t>Asdrubal Estevez Solís</t>
  </si>
  <si>
    <t>Ruth Blázquez Cerro</t>
  </si>
  <si>
    <t>Hernando del Nieto</t>
  </si>
  <si>
    <t>Silvio Vilanova Amador</t>
  </si>
  <si>
    <t>Damián Andrade</t>
  </si>
  <si>
    <t>Patricio Velasco</t>
  </si>
  <si>
    <t>Antonio Mendizábal Sevillano</t>
  </si>
  <si>
    <t>Aitana Escudero Hidalgo</t>
  </si>
  <si>
    <t>Magdalena Castell Rey</t>
  </si>
  <si>
    <t>Baltasar del Giner</t>
  </si>
  <si>
    <t>Martirio Samper Tena</t>
  </si>
  <si>
    <t>Arsenio Haro Ledesma</t>
  </si>
  <si>
    <t>Herminia Nevado Pagès</t>
  </si>
  <si>
    <t>Apolonia Luís-Bernat</t>
  </si>
  <si>
    <t>Lina Porcel Bustamante</t>
  </si>
  <si>
    <t>José Luis Ferrándiz Cornejo</t>
  </si>
  <si>
    <t>Belen Chaparro</t>
  </si>
  <si>
    <t>Poncio Cerdán</t>
  </si>
  <si>
    <t>Andrés Doménech Almazán</t>
  </si>
  <si>
    <t>Cecilio Apolinar Salas Alemán</t>
  </si>
  <si>
    <t>Otilia Ropero Macias</t>
  </si>
  <si>
    <t>Severo de Goñi</t>
  </si>
  <si>
    <t>Chuy Julián Cabrero</t>
  </si>
  <si>
    <t>Adelia Campo-Bueno</t>
  </si>
  <si>
    <t>Anacleto Paniagua-Antúnez</t>
  </si>
  <si>
    <t>Régulo Larrea Pereira</t>
  </si>
  <si>
    <t>Pacífica Guardiola Rosa</t>
  </si>
  <si>
    <t>Victorino Aramburu</t>
  </si>
  <si>
    <t>Bibiana Mata Alcolea</t>
  </si>
  <si>
    <t>Florentina Grande Quintero</t>
  </si>
  <si>
    <t>Cayetano Coello Fernandez</t>
  </si>
  <si>
    <t>Florinda Gascón Gonzalo</t>
  </si>
  <si>
    <t>Valeria Ríos</t>
  </si>
  <si>
    <t>Blanca Moya Fabregat</t>
  </si>
  <si>
    <t>Soraya Cáceres Marin</t>
  </si>
  <si>
    <t>Rufina Rosselló Sales</t>
  </si>
  <si>
    <t>Abril Almazán Gargallo</t>
  </si>
  <si>
    <t>Sandalio Pinto Alcázar</t>
  </si>
  <si>
    <t>Urbano Rosselló Llabrés</t>
  </si>
  <si>
    <t>Aurelio Ferreras Granados</t>
  </si>
  <si>
    <t>Aroa Pujol Belmonte</t>
  </si>
  <si>
    <t>Calista de Abril</t>
  </si>
  <si>
    <t>Teófilo Contreras Téllez</t>
  </si>
  <si>
    <t>Milagros Cabañas</t>
  </si>
  <si>
    <t>Gonzalo Sans Miró</t>
  </si>
  <si>
    <t>Sofía Bou Zamorano</t>
  </si>
  <si>
    <t>Leandro Gabino Cruz Izaguirre</t>
  </si>
  <si>
    <t>Angelina Royo Canals</t>
  </si>
  <si>
    <t>Pío Fonseca-Granados</t>
  </si>
  <si>
    <t>Luis Miguel Cuadrado Gual</t>
  </si>
  <si>
    <t>Blanca Lucas Cortés</t>
  </si>
  <si>
    <t>José Luis Arévalo</t>
  </si>
  <si>
    <t>Leonel Sierra Fajardo</t>
  </si>
  <si>
    <t>Calixto Palacio Casas</t>
  </si>
  <si>
    <t>Eugenio Pla Alegre</t>
  </si>
  <si>
    <t>Daniela Arana</t>
  </si>
  <si>
    <t>Amancio Casares Francisco</t>
  </si>
  <si>
    <t>Leopoldo Lamas Vilaplana</t>
  </si>
  <si>
    <t>Pascual del Haro</t>
  </si>
  <si>
    <t>Dionisia Llamas</t>
  </si>
  <si>
    <t>Amada Falcó Llabrés</t>
  </si>
  <si>
    <t>Óscar Enríquez Acedo</t>
  </si>
  <si>
    <t>Cecilio Bastida Seguí</t>
  </si>
  <si>
    <t>Leocadia Aznar Revilla</t>
  </si>
  <si>
    <t>Anabel Iniesta Hierro</t>
  </si>
  <si>
    <t>Lilia Narváez Batalla</t>
  </si>
  <si>
    <t>Adriana Egea Luís</t>
  </si>
  <si>
    <t>Pepita del Gallart</t>
  </si>
  <si>
    <t>Luis Ángel Téllez Conde</t>
  </si>
  <si>
    <t>Angelina Sanmiguel Gallo</t>
  </si>
  <si>
    <t>Catalina Solé Porras</t>
  </si>
  <si>
    <t>Manuela Benavides Gálvez</t>
  </si>
  <si>
    <t>Teresa Lastra Serra</t>
  </si>
  <si>
    <t>Marianela Jover Carballo</t>
  </si>
  <si>
    <t>Ainara Zaragoza Crespi</t>
  </si>
  <si>
    <t>Claudio Porfirio Francisco Múñiz</t>
  </si>
  <si>
    <t>Andrés Felipe Cuevas</t>
  </si>
  <si>
    <t>Encarnación Fiol Domingo</t>
  </si>
  <si>
    <t>Fátima de Cisneros</t>
  </si>
  <si>
    <t>Maximino Vigil Morante</t>
  </si>
  <si>
    <t>María Luisa Antúnez Girón</t>
  </si>
  <si>
    <t>Beatriz Bello Godoy</t>
  </si>
  <si>
    <t>Eloísa Rosalina Pont Madrigal</t>
  </si>
  <si>
    <t>Ibán Rios Calvet</t>
  </si>
  <si>
    <t>Rufino Mascaró-Borrell</t>
  </si>
  <si>
    <t>Félix Paredes Mulet</t>
  </si>
  <si>
    <t>Lucho Aznar</t>
  </si>
  <si>
    <t>Encarnacion del Aguiló</t>
  </si>
  <si>
    <t>Juan Bautista de Campos</t>
  </si>
  <si>
    <t>Leonor Ugarte Salas</t>
  </si>
  <si>
    <t>Hermenegildo de Tolosa</t>
  </si>
  <si>
    <t>Lisandro Benavides Barba</t>
  </si>
  <si>
    <t>Zacarías Milla Fernandez</t>
  </si>
  <si>
    <t>Leyre Ponce-Quintana</t>
  </si>
  <si>
    <t>Palmira Moreno Manzanares</t>
  </si>
  <si>
    <t>Amancio Bermúdez Flor</t>
  </si>
  <si>
    <t>Baltasar Téllez Vargas</t>
  </si>
  <si>
    <t>María Fernanda Delia Rovira Taboada</t>
  </si>
  <si>
    <t>Héctor Galván</t>
  </si>
  <si>
    <t>Matías Rincón-Roldan</t>
  </si>
  <si>
    <t>Benigno Folch Villaverde</t>
  </si>
  <si>
    <t>Ariel Bejarano Gimenez</t>
  </si>
  <si>
    <t>Román Villa Marqués</t>
  </si>
  <si>
    <t>Dimas Ibarra Domínguez</t>
  </si>
  <si>
    <t>Íñigo Pavón Pol</t>
  </si>
  <si>
    <t>Fernanda Olivé Garmendia</t>
  </si>
  <si>
    <t>Norberto Chucho Raya Saldaña</t>
  </si>
  <si>
    <t>Clementina Salcedo Valenzuela</t>
  </si>
  <si>
    <t>Brunilda Paredes Vilar</t>
  </si>
  <si>
    <t>Ester Gras Talavera</t>
  </si>
  <si>
    <t>Jonatan del Guzman</t>
  </si>
  <si>
    <t>Susanita Polo Pons</t>
  </si>
  <si>
    <t>Emiliano Galván Madrigal</t>
  </si>
  <si>
    <t>Palmira Téllez Rosales</t>
  </si>
  <si>
    <t>Gracia José Puente Belmonte</t>
  </si>
  <si>
    <t>Ariel Alejo Blázquez Castells</t>
  </si>
  <si>
    <t>Juan Antonio Solana-Torrijos</t>
  </si>
  <si>
    <t>Guiomar Jáuregui Ochoa</t>
  </si>
  <si>
    <t>Mayte Luz Bolaños</t>
  </si>
  <si>
    <t>Florencio López Diez</t>
  </si>
  <si>
    <t>Pepito Sedano Pou</t>
  </si>
  <si>
    <t>Aitana Gelabert Guardiola</t>
  </si>
  <si>
    <t>Luis Pellicer Fábregas</t>
  </si>
  <si>
    <t>Herminio Pereira Redondo</t>
  </si>
  <si>
    <t>Primitiva Quintero Sacristán</t>
  </si>
  <si>
    <t>Evangelina Esparza Mariscal</t>
  </si>
  <si>
    <t>Celia Aguiló Duran</t>
  </si>
  <si>
    <t>Olivia del Grau</t>
  </si>
  <si>
    <t>Juan Bautista Valderrama Méndez</t>
  </si>
  <si>
    <t>Carina Cañete Alcolea</t>
  </si>
  <si>
    <t>Ambrosio Calatayud Revilla</t>
  </si>
  <si>
    <t>Ildefonso de Fajardo</t>
  </si>
  <si>
    <t>Edelmira Baeza-Rodriguez</t>
  </si>
  <si>
    <t>Socorro Castro Agustí</t>
  </si>
  <si>
    <t>Calixto Ávila Pintor</t>
  </si>
  <si>
    <t>Severiano de Morán</t>
  </si>
  <si>
    <t>Olimpia Valls Calvet</t>
  </si>
  <si>
    <t>Vito del Lara</t>
  </si>
  <si>
    <t>Teodosio Arteaga Nicolau</t>
  </si>
  <si>
    <t>Juan Luis Amorós Calvet</t>
  </si>
  <si>
    <t>Olivia del Martí</t>
  </si>
  <si>
    <t>Nicanor Peña Tudela</t>
  </si>
  <si>
    <t>Elena Torre Blazquez</t>
  </si>
  <si>
    <t>Adriana Zabala</t>
  </si>
  <si>
    <t>Yésica Carnero</t>
  </si>
  <si>
    <t>Luis Miguel Gutierrez Llabrés</t>
  </si>
  <si>
    <t>Josué Salom González</t>
  </si>
  <si>
    <t>Montserrat Tomé</t>
  </si>
  <si>
    <t>Berta Izaguirre-Coll</t>
  </si>
  <si>
    <t>Asunción Arnaiz Castellanos</t>
  </si>
  <si>
    <t>Nilo Porras Casas</t>
  </si>
  <si>
    <t>7943 S. Fifth Street</t>
  </si>
  <si>
    <t>Bergenfield, NJ 07621</t>
  </si>
  <si>
    <t>77 Lyme Street</t>
  </si>
  <si>
    <t>Hermitage, TN 37076</t>
  </si>
  <si>
    <t>9448 Fairfield St.</t>
  </si>
  <si>
    <t>Aberdeen, SD 57401</t>
  </si>
  <si>
    <t>8143 College St.</t>
  </si>
  <si>
    <t>Trussville, AL 35173</t>
  </si>
  <si>
    <t>9893 W. Vale Ave.</t>
  </si>
  <si>
    <t>Billings, MT 59101</t>
  </si>
  <si>
    <t>8094 Albany Drive</t>
  </si>
  <si>
    <t>Poughkeepsie, NY 12601</t>
  </si>
  <si>
    <t>9001 Creek Street</t>
  </si>
  <si>
    <t>Lawrence, MA 01841</t>
  </si>
  <si>
    <t>57 Green Drive</t>
  </si>
  <si>
    <t>Fair Lawn, NJ 07410</t>
  </si>
  <si>
    <t>86 Surrey St.</t>
  </si>
  <si>
    <t>Kennewick, WA 99337</t>
  </si>
  <si>
    <t>8728 Boston Street</t>
  </si>
  <si>
    <t>Rego Park, NY 11374</t>
  </si>
  <si>
    <t>45 Heritage Ave.</t>
  </si>
  <si>
    <t>Fall River, MA 02720</t>
  </si>
  <si>
    <t>9334 Hillside Street</t>
  </si>
  <si>
    <t>Grand Blanc, MI 48439</t>
  </si>
  <si>
    <t>611 Academy Street</t>
  </si>
  <si>
    <t>Dalton, GA 30721</t>
  </si>
  <si>
    <t>7201 Mill Street</t>
  </si>
  <si>
    <t>Marcus Hook, PA 19061</t>
  </si>
  <si>
    <t>59 Ridgewood Ave.</t>
  </si>
  <si>
    <t>Reynoldsburg, OH 43068</t>
  </si>
  <si>
    <t>270 West Green Lake St.</t>
  </si>
  <si>
    <t>Louisville, KY 40207</t>
  </si>
  <si>
    <t>9481 S. Chestnut St.</t>
  </si>
  <si>
    <t>Morristown, NJ 07960</t>
  </si>
  <si>
    <t>7 N. Annadale Street</t>
  </si>
  <si>
    <t>Eugene, OR 97402</t>
  </si>
  <si>
    <t>88 Pheasant Rd.</t>
  </si>
  <si>
    <t>Bridgeton, NJ 08302</t>
  </si>
  <si>
    <t>8 Galvin Street</t>
  </si>
  <si>
    <t>Seymour, IN 47274</t>
  </si>
  <si>
    <t>9 Marconi Road</t>
  </si>
  <si>
    <t>Eastpointe, MI 48021</t>
  </si>
  <si>
    <t>8842 Old Van Dyke Ave.</t>
  </si>
  <si>
    <t>Nanuet, NY 10954</t>
  </si>
  <si>
    <t>471 S. Cambridge Drive</t>
  </si>
  <si>
    <t>Fairborn, OH 45324</t>
  </si>
  <si>
    <t>9 Military Dr.</t>
  </si>
  <si>
    <t>Yuba City, CA 95993</t>
  </si>
  <si>
    <t>8388 Pheasant Street</t>
  </si>
  <si>
    <t>Powder Springs, GA 30127</t>
  </si>
  <si>
    <t>221 Dogwood Dr.</t>
  </si>
  <si>
    <t>El Paso, TX 79930</t>
  </si>
  <si>
    <t>911 Charles St.</t>
  </si>
  <si>
    <t>East Lansing, MI 48823</t>
  </si>
  <si>
    <t>176 Henry Smith Ave.</t>
  </si>
  <si>
    <t>Westland, MI 48185</t>
  </si>
  <si>
    <t>323 1st St.</t>
  </si>
  <si>
    <t>Salt Lake City, UT 84119</t>
  </si>
  <si>
    <t>8127 Pawnee Lane</t>
  </si>
  <si>
    <t>Pikesville, MD 21208</t>
  </si>
  <si>
    <t>7813 Helen Ave.</t>
  </si>
  <si>
    <t>West Springfield, MA 01089</t>
  </si>
  <si>
    <t>353 Canterbury Dr.</t>
  </si>
  <si>
    <t>Mahwah, NJ 07430</t>
  </si>
  <si>
    <t>61 Addison Dr.</t>
  </si>
  <si>
    <t>Park Forest, IL 60466</t>
  </si>
  <si>
    <t>810 West Mill St.</t>
  </si>
  <si>
    <t>Westfield, MA 01085</t>
  </si>
  <si>
    <t>51 Mayfair Court</t>
  </si>
  <si>
    <t>Dothan, AL 36301</t>
  </si>
  <si>
    <t>840 Oak Meadow Ave.</t>
  </si>
  <si>
    <t>Klamath Falls, OR 97603</t>
  </si>
  <si>
    <t>257 Pheasant Drive</t>
  </si>
  <si>
    <t>Hialeah, FL 33010</t>
  </si>
  <si>
    <t>30 N. Park Avenue</t>
  </si>
  <si>
    <t>Howard Beach, NY 11414</t>
  </si>
  <si>
    <t>850 School St.</t>
  </si>
  <si>
    <t>Wheaton, IL 60187</t>
  </si>
  <si>
    <t>59 Atlantic Ave.</t>
  </si>
  <si>
    <t>Gallatin, TN 37066</t>
  </si>
  <si>
    <t>74 Broadway</t>
  </si>
  <si>
    <t>MILTON KEYNES</t>
  </si>
  <si>
    <t>MK9 3EN</t>
  </si>
  <si>
    <t>21 Mill Road</t>
  </si>
  <si>
    <t>CREWE</t>
  </si>
  <si>
    <t>CW90 4ZA</t>
  </si>
  <si>
    <t>674 High Street</t>
  </si>
  <si>
    <t>CANTERBURY</t>
  </si>
  <si>
    <t>CT76 6OB</t>
  </si>
  <si>
    <t>10 Richmond Road</t>
  </si>
  <si>
    <t>DUNDEE</t>
  </si>
  <si>
    <t>DD84 2WJ</t>
  </si>
  <si>
    <t>35 The Crescent</t>
  </si>
  <si>
    <t>SOUTH EAST LONDON</t>
  </si>
  <si>
    <t>SE42 3UM</t>
  </si>
  <si>
    <t>44 School Lane</t>
  </si>
  <si>
    <t>DONCASTER</t>
  </si>
  <si>
    <t>DN36 9AT</t>
  </si>
  <si>
    <t>94 The Avenue</t>
  </si>
  <si>
    <t>BRIGHTON</t>
  </si>
  <si>
    <t>BN0 6LJ</t>
  </si>
  <si>
    <t>290 Albert Road</t>
  </si>
  <si>
    <t>STOCKPORT</t>
  </si>
  <si>
    <t>SK35 8CV</t>
  </si>
  <si>
    <t>96 The Green</t>
  </si>
  <si>
    <t>WATFORD</t>
  </si>
  <si>
    <t>WD65 4RB</t>
  </si>
  <si>
    <t>9950 Queen Street</t>
  </si>
  <si>
    <t>WAKEFIELD</t>
  </si>
  <si>
    <t>WF81 5TB</t>
  </si>
  <si>
    <t>30 Main Road</t>
  </si>
  <si>
    <t>NORTH WEST LONDON</t>
  </si>
  <si>
    <t>NW96 2RV</t>
  </si>
  <si>
    <t>9896 New Road</t>
  </si>
  <si>
    <t>SHREWSBURY</t>
  </si>
  <si>
    <t>SY49 2YJ</t>
  </si>
  <si>
    <t>26 North Road</t>
  </si>
  <si>
    <t>EAST CENTRAL LONDON</t>
  </si>
  <si>
    <t>EC18 9MF</t>
  </si>
  <si>
    <t>146 Church Lane</t>
  </si>
  <si>
    <t>LLANDRINDOD WELLS</t>
  </si>
  <si>
    <t>LD87 1KV</t>
  </si>
  <si>
    <t>70 Green Lane</t>
  </si>
  <si>
    <t>KILMARNOCK</t>
  </si>
  <si>
    <t>KA97 3AD</t>
  </si>
  <si>
    <t>9645 Queensway</t>
  </si>
  <si>
    <t>ROCHESTER</t>
  </si>
  <si>
    <t>ME97 9GF</t>
  </si>
  <si>
    <t>5 Kingsway</t>
  </si>
  <si>
    <t>WARRINGTON</t>
  </si>
  <si>
    <t>WA48 9PQ</t>
  </si>
  <si>
    <t>512 Stanley Road</t>
  </si>
  <si>
    <t>BIRMINGHAM</t>
  </si>
  <si>
    <t>B2 0LA</t>
  </si>
  <si>
    <t>3 Church Street</t>
  </si>
  <si>
    <t>CARLISLE</t>
  </si>
  <si>
    <t>CA46 0YA</t>
  </si>
  <si>
    <t>12 George Street</t>
  </si>
  <si>
    <t>REDHILL</t>
  </si>
  <si>
    <t>RH45 1LV</t>
  </si>
  <si>
    <t>2 Manchester Road</t>
  </si>
  <si>
    <t>SWANSEA</t>
  </si>
  <si>
    <t>SA65 3HD</t>
  </si>
  <si>
    <t>84 North Street</t>
  </si>
  <si>
    <t>DUDLEY</t>
  </si>
  <si>
    <t>DY65 3GJ</t>
  </si>
  <si>
    <t>9112 St. John’s Road</t>
  </si>
  <si>
    <t>WALSALL</t>
  </si>
  <si>
    <t>WS53 7IY</t>
  </si>
  <si>
    <t>19 Church Road</t>
  </si>
  <si>
    <t>SOUTH WEST LONDON</t>
  </si>
  <si>
    <t>SW65 0GH</t>
  </si>
  <si>
    <t>76 South Street</t>
  </si>
  <si>
    <t>NORWICH</t>
  </si>
  <si>
    <t>NR38 3VK</t>
  </si>
  <si>
    <t>73 Grove Road</t>
  </si>
  <si>
    <t>SHEFFIELD</t>
  </si>
  <si>
    <t>S39 0KU</t>
  </si>
  <si>
    <t>92 Park Avenue</t>
  </si>
  <si>
    <t>WOLVERHAMPTON</t>
  </si>
  <si>
    <t>WV82 8AJ</t>
  </si>
  <si>
    <t>53 King Street</t>
  </si>
  <si>
    <t>COVENTRY</t>
  </si>
  <si>
    <t>CV96 4TX</t>
  </si>
  <si>
    <t>58 Highfield Road</t>
  </si>
  <si>
    <t>BLACKBURN</t>
  </si>
  <si>
    <t>BB91 5XM</t>
  </si>
  <si>
    <t>20 West Street</t>
  </si>
  <si>
    <t>OUTER HEBRIDES</t>
  </si>
  <si>
    <t>HS33 0PY</t>
  </si>
  <si>
    <t>82 Windsor Road</t>
  </si>
  <si>
    <t>PERTH</t>
  </si>
  <si>
    <t>PH82 4OY</t>
  </si>
  <si>
    <t>75 Grange Road</t>
  </si>
  <si>
    <t>WESTERN CENTRAL LONDON</t>
  </si>
  <si>
    <t>WC52 6DL</t>
  </si>
  <si>
    <t>10 Kings Road</t>
  </si>
  <si>
    <t>WORCESTER</t>
  </si>
  <si>
    <t>WR45 4AU</t>
  </si>
  <si>
    <t>80 The Grove</t>
  </si>
  <si>
    <t>MANCHESTER</t>
  </si>
  <si>
    <t>M78 7CQ</t>
  </si>
  <si>
    <t>472 Mill Lane</t>
  </si>
  <si>
    <t>READING</t>
  </si>
  <si>
    <t>RG6 1SR</t>
  </si>
  <si>
    <t>55 Queens Road</t>
  </si>
  <si>
    <t>TORQUAY</t>
  </si>
  <si>
    <t>TQ16 9DL</t>
  </si>
  <si>
    <t>80 Chester Road</t>
  </si>
  <si>
    <t>HARROW</t>
  </si>
  <si>
    <t>HA62 8DU</t>
  </si>
  <si>
    <t>320 Victoria Road</t>
  </si>
  <si>
    <t>PAISLEY</t>
  </si>
  <si>
    <t>PA13 7KA</t>
  </si>
  <si>
    <t>304 Springfield Road</t>
  </si>
  <si>
    <t>BRADFORD</t>
  </si>
  <si>
    <t>BD84 2HP</t>
  </si>
  <si>
    <t>51 Main Street</t>
  </si>
  <si>
    <t>CHESTER</t>
  </si>
  <si>
    <t>CH66 8CW</t>
  </si>
  <si>
    <t>28 London Road</t>
  </si>
  <si>
    <t>HULL</t>
  </si>
  <si>
    <t>HU74 4ER</t>
  </si>
  <si>
    <t>44 Park Road</t>
  </si>
  <si>
    <t>GUILDFORD</t>
  </si>
  <si>
    <t>GU45 5EZ</t>
  </si>
  <si>
    <t>597 New Street</t>
  </si>
  <si>
    <t>DURHAM</t>
  </si>
  <si>
    <t>DH29 2KQ</t>
  </si>
  <si>
    <t>69 The Drive</t>
  </si>
  <si>
    <t>DUMFRIES</t>
  </si>
  <si>
    <t>DG73 0TH</t>
  </si>
  <si>
    <t>41 Victoria Street</t>
  </si>
  <si>
    <t>LEICESTER</t>
  </si>
  <si>
    <t>LE96 5AZ</t>
  </si>
  <si>
    <t>45 Station Road</t>
  </si>
  <si>
    <t>CHELMSFORD</t>
  </si>
  <si>
    <t>CM60 7BF</t>
  </si>
  <si>
    <t>48 Manor Road</t>
  </si>
  <si>
    <t>LIVERPOOL</t>
  </si>
  <si>
    <t>L52 8LM</t>
  </si>
  <si>
    <t>217 Park Lane</t>
  </si>
  <si>
    <t>SUNDERLAND</t>
  </si>
  <si>
    <t>SR69 9RW</t>
  </si>
  <si>
    <t>33 York Road</t>
  </si>
  <si>
    <t>HUDDERSFIELD</t>
  </si>
  <si>
    <t>HD3 3KR</t>
  </si>
  <si>
    <t>44 Alexander Road</t>
  </si>
  <si>
    <t>YORK</t>
  </si>
  <si>
    <t>YO59 8CP</t>
  </si>
  <si>
    <t>24 Rock Maple Lane</t>
  </si>
  <si>
    <t>Santa Ana, CA 92707</t>
  </si>
  <si>
    <t>376 South Griffin Street</t>
  </si>
  <si>
    <t>Lancaster, CA 93535</t>
  </si>
  <si>
    <t>7172 Halifax St.</t>
  </si>
  <si>
    <t>Huntington Beach, CA 92647</t>
  </si>
  <si>
    <t>9530 Homewood St.</t>
  </si>
  <si>
    <t>Palmdale, CA 93550</t>
  </si>
  <si>
    <t>3 Sunset Street</t>
  </si>
  <si>
    <t>Watsonville, CA 95076</t>
  </si>
  <si>
    <t>611 Linda Rd.</t>
  </si>
  <si>
    <t>El Cajon, CA 92021</t>
  </si>
  <si>
    <t>7088 South Woodland St.</t>
  </si>
  <si>
    <t>South San Francisco, CA 94080</t>
  </si>
  <si>
    <t>78 Hamilton St.</t>
  </si>
  <si>
    <t>Los Angeles, CA 90022</t>
  </si>
  <si>
    <t>7576 S. Prince Ave.</t>
  </si>
  <si>
    <t>Compton, CA 90221</t>
  </si>
  <si>
    <t>8678 Glen Eagles Rd.</t>
  </si>
  <si>
    <t>Los Angeles, CA 90042</t>
  </si>
  <si>
    <t>7487 College Rd.</t>
  </si>
  <si>
    <t>Carmichael, CA 95608</t>
  </si>
  <si>
    <t>8 Westminster Ave.</t>
  </si>
  <si>
    <t>Anaheim, CA 92805</t>
  </si>
  <si>
    <t>92 Brickell Drive</t>
  </si>
  <si>
    <t>Fountain Valley, CA 92708</t>
  </si>
  <si>
    <t>503 Delaware Street</t>
  </si>
  <si>
    <t>San Jose, CA 95123</t>
  </si>
  <si>
    <t>34 Anderson Ave.</t>
  </si>
  <si>
    <t>Los Angeles, CA 90037</t>
  </si>
  <si>
    <t>8388 Water St.</t>
  </si>
  <si>
    <t>Bakersfield, CA 93309</t>
  </si>
  <si>
    <t>373 Brickyard Avenue</t>
  </si>
  <si>
    <t>Tustin, CA 92780</t>
  </si>
  <si>
    <t>834 Yukon Lane</t>
  </si>
  <si>
    <t>Cupertino, CA 95014</t>
  </si>
  <si>
    <t>8324 South St.</t>
  </si>
  <si>
    <t>Fremont, CA 94538</t>
  </si>
  <si>
    <t>8 White Ave.</t>
  </si>
  <si>
    <t>Bakersfield, CA 93307</t>
  </si>
  <si>
    <t>907 Inverness Dr.</t>
  </si>
  <si>
    <t>North Hills, CA 91343</t>
  </si>
  <si>
    <t>12 Cypress Avenue</t>
  </si>
  <si>
    <t>San Pablo, CA 94806</t>
  </si>
  <si>
    <t>7313 Bohemia Street</t>
  </si>
  <si>
    <t>San Diego, CA 92117</t>
  </si>
  <si>
    <t>8518 Hilldale Lane</t>
  </si>
  <si>
    <t>Pomona, CA 91766</t>
  </si>
  <si>
    <t>190 Sierra St.</t>
  </si>
  <si>
    <t>Paramount, CA 90723</t>
  </si>
  <si>
    <t>95 Studebaker Street</t>
  </si>
  <si>
    <t>Ontario, CA 91761</t>
  </si>
  <si>
    <t>1 Highland Ave.</t>
  </si>
  <si>
    <t>San Jose, CA 95122</t>
  </si>
  <si>
    <t>5 West Henry Smith Street</t>
  </si>
  <si>
    <t>San Francisco, CA 94110</t>
  </si>
  <si>
    <t>940 E. Primrose Ave.</t>
  </si>
  <si>
    <t>Laguna Niguel, CA 92677</t>
  </si>
  <si>
    <t>8304 Van Dyke Avenue</t>
  </si>
  <si>
    <t>Santa Ana, CA 92703</t>
  </si>
  <si>
    <t>86 Bradford Rd.</t>
  </si>
  <si>
    <t>San Francisco, CA 94112</t>
  </si>
  <si>
    <t>3 Jefferson Dr.</t>
  </si>
  <si>
    <t>Van Nuys, CA 91406</t>
  </si>
  <si>
    <t>79 Rocky River Ave.</t>
  </si>
  <si>
    <t>Reseda, CA 91335</t>
  </si>
  <si>
    <t>38 Johnson St.</t>
  </si>
  <si>
    <t>Fremont, CA 94536</t>
  </si>
  <si>
    <t>7652 West Wakehurst Drive</t>
  </si>
  <si>
    <t>Garden Grove, CA 92840</t>
  </si>
  <si>
    <t>7075 Lake Forest Rd.</t>
  </si>
  <si>
    <t>Bellflower, CA 90706</t>
  </si>
  <si>
    <t>619 Pleasant St.</t>
  </si>
  <si>
    <t>Lynwood, CA 90262</t>
  </si>
  <si>
    <t>8026 New Saddle St.</t>
  </si>
  <si>
    <t>San Diego, CA 92105</t>
  </si>
  <si>
    <t>275 Rock Maple Avenue</t>
  </si>
  <si>
    <t>Huntington Beach, CA 92646</t>
  </si>
  <si>
    <t>404 Railroad St.</t>
  </si>
  <si>
    <t>Oxnard, CA 93030</t>
  </si>
  <si>
    <t>441 Court Dr.</t>
  </si>
  <si>
    <t>Sunnyvale, CA 94087</t>
  </si>
  <si>
    <t>9 South Theatre Ave.</t>
  </si>
  <si>
    <t>Sacramento, CA 95828</t>
  </si>
  <si>
    <t>674 Van Dyke Drive</t>
  </si>
  <si>
    <t>Pittsburg, CA 94565</t>
  </si>
  <si>
    <t>234 W. Riverside St.</t>
  </si>
  <si>
    <t>South Gate, CA 90280</t>
  </si>
  <si>
    <t>916 E. Cactus Ave.</t>
  </si>
  <si>
    <t>Indio, CA 92201</t>
  </si>
  <si>
    <t>218 Lake St.</t>
  </si>
  <si>
    <t>Vallejo, CA 94591</t>
  </si>
  <si>
    <t>861 Oakland St.</t>
  </si>
  <si>
    <t>Chula Vista, CA 91911</t>
  </si>
  <si>
    <t>8356 Bank Ave.</t>
  </si>
  <si>
    <t>Chula Vista, CA 91910</t>
  </si>
  <si>
    <t>9754 Brookside Street</t>
  </si>
  <si>
    <t>Sacramento, CA 95823</t>
  </si>
  <si>
    <t>8718 Chapel Drive</t>
  </si>
  <si>
    <t>Rosemead, CA 91770</t>
  </si>
  <si>
    <t>9029 Bellevue Drive</t>
  </si>
  <si>
    <t>San Bernardino, CA 92404</t>
  </si>
  <si>
    <t>277 Halifax Dr.</t>
  </si>
  <si>
    <t>Colton, CA 92324</t>
  </si>
  <si>
    <t>7889 Chapel Street</t>
  </si>
  <si>
    <t>Ontario, CA 91762</t>
  </si>
  <si>
    <t>487 East 6th St.</t>
  </si>
  <si>
    <t>Canyon Country, CA 91351</t>
  </si>
  <si>
    <t>51 Coffee St.</t>
  </si>
  <si>
    <t>Oxnard, CA 93033</t>
  </si>
  <si>
    <t>9586 Sycamore Dr.</t>
  </si>
  <si>
    <t>Livermore, CA 94550</t>
  </si>
  <si>
    <t>801 SW. Prairie St.</t>
  </si>
  <si>
    <t>Cerritos, CA 90703</t>
  </si>
  <si>
    <t>830 High Point Court</t>
  </si>
  <si>
    <t>Hayward, CA 94544</t>
  </si>
  <si>
    <t>791 Silver Spear Street</t>
  </si>
  <si>
    <t>National City, CA 91950</t>
  </si>
  <si>
    <t>8882 Old Smith Ave.</t>
  </si>
  <si>
    <t>Oceanside, CA 92056</t>
  </si>
  <si>
    <t>970 Myers Street</t>
  </si>
  <si>
    <t>Oceanside, CA 92054</t>
  </si>
  <si>
    <t>948 Railroad Avenue</t>
  </si>
  <si>
    <t>Unit 2</t>
  </si>
  <si>
    <t>San Diego, CA 92114</t>
  </si>
  <si>
    <t>7069 Andover St.</t>
  </si>
  <si>
    <t>Pico Rivera, CA 90660</t>
  </si>
  <si>
    <t>81 Morris Drive</t>
  </si>
  <si>
    <t>Los Angeles, CA 90001</t>
  </si>
  <si>
    <t>8785 Marconi Road</t>
  </si>
  <si>
    <t>Modesto, CA 95350</t>
  </si>
  <si>
    <t>632 Manor Ave.</t>
  </si>
  <si>
    <t>Simi Valley, CA 93065</t>
  </si>
  <si>
    <t>51 College Street</t>
  </si>
  <si>
    <t>Los Angeles, CA 90004</t>
  </si>
  <si>
    <t>198 Ramblewood Drive</t>
  </si>
  <si>
    <t>Folsom, CA 95630</t>
  </si>
  <si>
    <t>13 E. Walnut St.</t>
  </si>
  <si>
    <t>Tulare, CA 93274</t>
  </si>
  <si>
    <t>7792 Anderson Lane</t>
  </si>
  <si>
    <t>San Francisco, CA 94109</t>
  </si>
  <si>
    <t>7728 Mayfield Drive</t>
  </si>
  <si>
    <t>Tracy, CA 95376</t>
  </si>
  <si>
    <t>8704 Thatcher St.</t>
  </si>
  <si>
    <t>Los Angeles, CA 90066</t>
  </si>
  <si>
    <t>9160 Mammoth Ave.</t>
  </si>
  <si>
    <t>Riverside, CA 92509</t>
  </si>
  <si>
    <t>8652 Arlington Drive</t>
  </si>
  <si>
    <t>Los Angeles, CA 90026</t>
  </si>
  <si>
    <t>9048 Birchwood Avenue</t>
  </si>
  <si>
    <t>Fairfield, CA 94533</t>
  </si>
  <si>
    <t>35 Charles St.</t>
  </si>
  <si>
    <t>Sylmar, CA 91342</t>
  </si>
  <si>
    <t>634 Theatre Street</t>
  </si>
  <si>
    <t>Daly City, CA 94015</t>
  </si>
  <si>
    <t>436 Ketch Harbour Street</t>
  </si>
  <si>
    <t>Van Nuys, CA 91405</t>
  </si>
  <si>
    <t>19 Strawberry Street</t>
  </si>
  <si>
    <t>Victorville, CA 92392</t>
  </si>
  <si>
    <t>48 Fairfield Lane</t>
  </si>
  <si>
    <t>San Pedro, CA 90731</t>
  </si>
  <si>
    <t>9814 Primrose Street</t>
  </si>
  <si>
    <t>San Diego, CA 92115</t>
  </si>
  <si>
    <t>8053 Jennings St.</t>
  </si>
  <si>
    <t>Rancho Cucamonga, CA 91730</t>
  </si>
  <si>
    <t>82 Bear Hill Ave.</t>
  </si>
  <si>
    <t>Union City, CA 94587</t>
  </si>
  <si>
    <t>9428 3rd Ave.</t>
  </si>
  <si>
    <t>Montebello, CA 90640</t>
  </si>
  <si>
    <t>83 Front Ave.</t>
  </si>
  <si>
    <t>San Francisco, CA 94122</t>
  </si>
  <si>
    <t>71 Wakehurst Drive</t>
  </si>
  <si>
    <t>Costa Mesa, CA 92627</t>
  </si>
  <si>
    <t>715 Redwood Dr.</t>
  </si>
  <si>
    <t>Long Beach, CA 90813</t>
  </si>
  <si>
    <t>316 Ohio St.</t>
  </si>
  <si>
    <t>Anaheim, CA 92801</t>
  </si>
  <si>
    <t>9185 Mechanic St.</t>
  </si>
  <si>
    <t>Alameda, CA 94501</t>
  </si>
  <si>
    <t>7371 Wrangler Street</t>
  </si>
  <si>
    <t>Oakland, CA 94601</t>
  </si>
  <si>
    <t>72 St Paul Ave.</t>
  </si>
  <si>
    <t>Long Beach, CA 90805</t>
  </si>
  <si>
    <t>67 William Drive</t>
  </si>
  <si>
    <t>Merced, CA 95340</t>
  </si>
  <si>
    <t>7732 Cobblestone Lane</t>
  </si>
  <si>
    <t>Huntington Park, CA 90255</t>
  </si>
  <si>
    <t>78 Summer Street</t>
  </si>
  <si>
    <t>San Jose, CA 95111</t>
  </si>
  <si>
    <t>9268 NE. Lookout Drive</t>
  </si>
  <si>
    <t>Santa Ana, CA 92704</t>
  </si>
  <si>
    <t>9551 Talbot Ave.</t>
  </si>
  <si>
    <t>Spring Valley, CA 91977</t>
  </si>
  <si>
    <t>82 Edgewood Ave.</t>
  </si>
  <si>
    <t>Salinas, CA 93905</t>
  </si>
  <si>
    <t>63 East Penn St.</t>
  </si>
  <si>
    <t>La Habra, CA 90631</t>
  </si>
  <si>
    <t>1 Spruce Street</t>
  </si>
  <si>
    <t>Fontana, CA 92336</t>
  </si>
  <si>
    <t>78 Devon St.</t>
  </si>
  <si>
    <t>Georgetown, ON L7G 9Y7</t>
  </si>
  <si>
    <t>425 Cherry Hill Court</t>
  </si>
  <si>
    <t>Donnacona, QC G3M 1C3</t>
  </si>
  <si>
    <t>900 Charles Lane</t>
  </si>
  <si>
    <t>Manotick, ON K4M 6S8</t>
  </si>
  <si>
    <t>316 East Oak Meadow Court</t>
  </si>
  <si>
    <t>Essex, ON N0R 2G6</t>
  </si>
  <si>
    <t>407 Lafayette Court</t>
  </si>
  <si>
    <t>Lockport, MB R1B 5H9</t>
  </si>
  <si>
    <t>17 Euclid Rd.</t>
  </si>
  <si>
    <t>Bonnyville, AB T9N 2P9</t>
  </si>
  <si>
    <t>821 Surrey St.</t>
  </si>
  <si>
    <t>Petit-Rocher, NB E8J 4K5</t>
  </si>
  <si>
    <t>714 Depot St.</t>
  </si>
  <si>
    <t>Farnham, QC J2N 4J1</t>
  </si>
  <si>
    <t>82 Clark Ave.</t>
  </si>
  <si>
    <t>Winnipeg, MB R2C 4A3</t>
  </si>
  <si>
    <t>9949 Dogwood Ave.</t>
  </si>
  <si>
    <t>Saint-Raymond, QC G3L 7P7</t>
  </si>
  <si>
    <t>9 Kingston Lane</t>
  </si>
  <si>
    <t>St. George, NB E5C 6A9</t>
  </si>
  <si>
    <t>652 Old Tower Lane</t>
  </si>
  <si>
    <t>Port Moody, BC V3H 3N3</t>
  </si>
  <si>
    <t>1 Trusel Lane</t>
  </si>
  <si>
    <t>Delhi, ON N4B 2V1</t>
  </si>
  <si>
    <t>81 Canterbury Street</t>
  </si>
  <si>
    <t>Oromocto, NB E2V 6A5</t>
  </si>
  <si>
    <t>1 Westminster Street</t>
  </si>
  <si>
    <t>Belledune, NB E8G 4R8</t>
  </si>
  <si>
    <t>83 Beaver Ridge Ave.</t>
  </si>
  <si>
    <t>Bouctouche, NB E4S 8M3</t>
  </si>
  <si>
    <t>170 Devonshire St.</t>
  </si>
  <si>
    <t>Caledon, ON L7C 9T6</t>
  </si>
  <si>
    <t>7489 Central Drive</t>
  </si>
  <si>
    <t>Buena Vista, SK S2V 1L1</t>
  </si>
  <si>
    <t>72 Wild Rose Circle</t>
  </si>
  <si>
    <t>Digby Neck, NS B0V 8H6</t>
  </si>
  <si>
    <t>9562 South Forest Drive</t>
  </si>
  <si>
    <t>Outaouais-Sud, QC J0X 9K0</t>
  </si>
  <si>
    <t>94 Tallwood Avenue</t>
  </si>
  <si>
    <t>Wetaskiwin, AB T9A 7X8</t>
  </si>
  <si>
    <t>381 Clay Rd.</t>
  </si>
  <si>
    <t>Steinbach, MB R5G 1B0</t>
  </si>
  <si>
    <t>22 Fieldstone Dr.</t>
  </si>
  <si>
    <t>La Sarre, QC J9Z 2V9</t>
  </si>
  <si>
    <t>988 Bohemia Dr.</t>
  </si>
  <si>
    <t>Apohaqui, NB E5P 9G5</t>
  </si>
  <si>
    <t>7582 Lyme Ave.</t>
  </si>
  <si>
    <t>Lloydminster, SK S9V 5V1</t>
  </si>
  <si>
    <t>226 Taylor Rd.</t>
  </si>
  <si>
    <t>Highlands, BC V9B 9L3</t>
  </si>
  <si>
    <t>62 E. Foxrun Drive</t>
  </si>
  <si>
    <t>Saint-Hippolyte, QC J8A 8X2</t>
  </si>
  <si>
    <t>18 Theatre Rd.</t>
  </si>
  <si>
    <t>Chestermere, AB T1X 8K6</t>
  </si>
  <si>
    <t>562 Hilldale Lane</t>
  </si>
  <si>
    <t>Leduc, AB T9E 6E1</t>
  </si>
  <si>
    <t>235 Bowman Street</t>
  </si>
  <si>
    <t>Vancouver, BC V5K 7G2</t>
  </si>
  <si>
    <t>2 Beechwood Street</t>
  </si>
  <si>
    <t>Esquimalt, BC V9A 7T3</t>
  </si>
  <si>
    <t>877 Coffee Ave.</t>
  </si>
  <si>
    <t>Coldbrook, NS B4R 8S2</t>
  </si>
  <si>
    <t>759 Mayfair Court</t>
  </si>
  <si>
    <t>Windsor, ON N8P 8C9</t>
  </si>
  <si>
    <t>8921 West Oak Meadow Road</t>
  </si>
  <si>
    <t>Kanata, ON K2K 4A8</t>
  </si>
  <si>
    <t>24 Edgemont St.</t>
  </si>
  <si>
    <t>McAdam, NB E6J 7T4</t>
  </si>
  <si>
    <t>524 Dunbar Drive</t>
  </si>
  <si>
    <t>Hanover, ON N4N 0G1</t>
  </si>
  <si>
    <t>4 Maple Street</t>
  </si>
  <si>
    <t>Ottawa, ON K1G 0J7</t>
  </si>
  <si>
    <t>7963 Third St.</t>
  </si>
  <si>
    <t>Mississauga, ON L4T 3V7</t>
  </si>
  <si>
    <t>617 Liberty Dr.</t>
  </si>
  <si>
    <t>Wallaceburg, ON N8A 3M8</t>
  </si>
  <si>
    <t>72 Circle St.</t>
  </si>
  <si>
    <t>Windsor, LB A2B 0T8</t>
  </si>
  <si>
    <t>616 Lyme Ave.</t>
  </si>
  <si>
    <t>Cowansville, QC J2K 8Y0</t>
  </si>
  <si>
    <t>901 Fairway Street</t>
  </si>
  <si>
    <t>Duvernay-Est, QC H7A 4A9</t>
  </si>
  <si>
    <t>80 Gulf Drive</t>
  </si>
  <si>
    <t>Pitt Meadows, BC V3Y 0T2</t>
  </si>
  <si>
    <t>9599 East Water Ave.</t>
  </si>
  <si>
    <t>Amqui, QC G5J 8E3</t>
  </si>
  <si>
    <t>8850 Pulaski Dr.</t>
  </si>
  <si>
    <t>Enfield, NS B2T 5S6</t>
  </si>
  <si>
    <t>703 Bay Ave.</t>
  </si>
  <si>
    <t>St. Martins, NB E5R 1J6</t>
  </si>
  <si>
    <t>31 Temple Ave.</t>
  </si>
  <si>
    <t>Stouffville, ON L4A 6L1</t>
  </si>
  <si>
    <t>7058 Country Club Ave.</t>
  </si>
  <si>
    <t>Kings County, NS B0P 9R3</t>
  </si>
  <si>
    <t>91 Pineknoll Ave.</t>
  </si>
  <si>
    <t>Fort Saskatchewan, AB T8L 4M9</t>
  </si>
  <si>
    <t>871 Gainsway Drive</t>
  </si>
  <si>
    <t>Laurentides-Sud, QC J0V 3M7</t>
  </si>
  <si>
    <t>9536 Nut Swamp Dr.</t>
  </si>
  <si>
    <t>Black Lake, QC G6H 5M3</t>
  </si>
  <si>
    <t>53 Old Belmont St.</t>
  </si>
  <si>
    <t>Charny, QC G6X 9G6</t>
  </si>
  <si>
    <t>9451 Stonybrook Court</t>
  </si>
  <si>
    <t>Okotoks, AB T1S 0P8</t>
  </si>
  <si>
    <t>5 Rockland Court</t>
  </si>
  <si>
    <t>Boiestown, NB E6A 0J5</t>
  </si>
  <si>
    <t>209 North Primrose Street</t>
  </si>
  <si>
    <t>Port Alberni, BC V9Y 6C7</t>
  </si>
  <si>
    <t>14 Military Street</t>
  </si>
  <si>
    <t>Cochrane, AB T4C 6R2</t>
  </si>
  <si>
    <t>9282 Border Street</t>
  </si>
  <si>
    <t>Hampton, NB E5N 2B1</t>
  </si>
  <si>
    <t>258 Bohemia St.</t>
  </si>
  <si>
    <t>Grand Manan Island, NB E5G 6V4</t>
  </si>
  <si>
    <t>740 Jones St.</t>
  </si>
  <si>
    <t>Petawawa, ON K8H 6P6</t>
  </si>
  <si>
    <t>592 Linden Ave.</t>
  </si>
  <si>
    <t>Cap-Rouge, QC G1Y 7T2</t>
  </si>
  <si>
    <t>67 Sheffield Ave.</t>
  </si>
  <si>
    <t>Prince Rupert, BC V8J 9N3</t>
  </si>
  <si>
    <t>19 Tallwood St.</t>
  </si>
  <si>
    <t>Acton, ON L7J 3T8</t>
  </si>
  <si>
    <t>389 Ridge Street</t>
  </si>
  <si>
    <t>Lac-Megantic, QC G6B 4L9</t>
  </si>
  <si>
    <t>329 Carpenter Court</t>
  </si>
  <si>
    <t>Innisfail, AB T4G 7N5</t>
  </si>
  <si>
    <t>60 St Margarets Street</t>
  </si>
  <si>
    <t>Le Fjord, QC G0T 3E3</t>
  </si>
  <si>
    <t>968 E. Aspen Lane</t>
  </si>
  <si>
    <t>Grande-Anse, NB E8N 7C1</t>
  </si>
  <si>
    <t>12 Winding Way St.</t>
  </si>
  <si>
    <t>Kimberley, BC V1A 5S2</t>
  </si>
  <si>
    <t>859 Greenview Dr.</t>
  </si>
  <si>
    <t>St. Albert, AB T8N 8R8</t>
  </si>
  <si>
    <t>9286 E. Bayberry Street</t>
  </si>
  <si>
    <t>Bass River, NB E4T 4R0</t>
  </si>
  <si>
    <t>128 Richardson St.</t>
  </si>
  <si>
    <t>Parksville, BC V9P 5L2</t>
  </si>
  <si>
    <t>118 Pineknoll Drive</t>
  </si>
  <si>
    <t>La Plaine, QC J7M 5N3</t>
  </si>
  <si>
    <t>28 Pennsylvania Street</t>
  </si>
  <si>
    <t>Leamington, ON N8H 0N3</t>
  </si>
  <si>
    <t>334 Mechanic Lane</t>
  </si>
  <si>
    <t>Strathmore, AB T1P 9V5</t>
  </si>
  <si>
    <t>798 Clark Rd.</t>
  </si>
  <si>
    <t>Youngs Cove, NB E4C 4K5</t>
  </si>
  <si>
    <t>735 Spruce Ave.</t>
  </si>
  <si>
    <t>Chatham, QC J8G 7X7</t>
  </si>
  <si>
    <t>603 Elm Lane</t>
  </si>
  <si>
    <t>Eskasoni, NS B1W 1S9</t>
  </si>
  <si>
    <t>72 Paris Hill Ave.</t>
  </si>
  <si>
    <t>Parry Sound, ON P2A 5R6</t>
  </si>
  <si>
    <t>94 Valley View Rd.</t>
  </si>
  <si>
    <t>Lanaudière-Nord, QC J0K 8T8</t>
  </si>
  <si>
    <t>8 E. Miles Dr.</t>
  </si>
  <si>
    <t>Saint-Colomban, QC J5K 6C2</t>
  </si>
  <si>
    <t>672 Albany St.</t>
  </si>
  <si>
    <t>Huntsville, ON P1H 2C9</t>
  </si>
  <si>
    <t>22 Jackson Rd.</t>
  </si>
  <si>
    <t>Lachute, QC J8H 9V1</t>
  </si>
  <si>
    <t>22 Ridge Lane</t>
  </si>
  <si>
    <t>St. Stephen, NB E3L 2A8</t>
  </si>
  <si>
    <t>8557 West Greenview Dr.</t>
  </si>
  <si>
    <t>Îles-Laval, QC H7Y 1X2</t>
  </si>
  <si>
    <t>8824 Liberty Drive</t>
  </si>
  <si>
    <t>Grand Falls, LB A2A 2C6</t>
  </si>
  <si>
    <t>368 Fifth Dr.</t>
  </si>
  <si>
    <t>Ville Émard, QC H4E 1K4</t>
  </si>
  <si>
    <t>61 San Carlos Rd.</t>
  </si>
  <si>
    <t>Napanee, ON K7R 6V1</t>
  </si>
  <si>
    <t>37 Peninsula Street</t>
  </si>
  <si>
    <t>Woodstock, NB E7M 8P6</t>
  </si>
  <si>
    <t>149 Jennings Road</t>
  </si>
  <si>
    <t>Dorchester, NB E4K 6V5</t>
  </si>
  <si>
    <t>59 W. Anderson Lane</t>
  </si>
  <si>
    <t>Greely, ON K4P 4T2</t>
  </si>
  <si>
    <t>685 High Noon Lane</t>
  </si>
  <si>
    <t>Boucherville, QC J4B 9T3</t>
  </si>
  <si>
    <t>42 Johnson Dr.</t>
  </si>
  <si>
    <t>Lacombe, AB T4L 0S1</t>
  </si>
  <si>
    <t>7976 North Street</t>
  </si>
  <si>
    <t>Labrador City, LB A2V 8L0</t>
  </si>
  <si>
    <t>394 Hanover St.</t>
  </si>
  <si>
    <t>Grimsby, ON L3M 5X9</t>
  </si>
  <si>
    <t>9697 South Mountainview Street</t>
  </si>
  <si>
    <t>Cobourg, ON K9A 5G0</t>
  </si>
  <si>
    <t>60 Carpenter Street</t>
  </si>
  <si>
    <t>Chelsea, QC J9B 5K1</t>
  </si>
  <si>
    <t>343 Oxford St.</t>
  </si>
  <si>
    <t>Qualicum Beach, BC V9K 4J5</t>
  </si>
  <si>
    <t>490 Lantern Street</t>
  </si>
  <si>
    <t>Dunnville, ON N1A 2R5</t>
  </si>
  <si>
    <t>8158 S. Marvon Ave.</t>
  </si>
  <si>
    <t>Vimont, QC H7M 0J1</t>
  </si>
  <si>
    <t>7651 Carriage Dr.</t>
  </si>
  <si>
    <t>Port Perry, ON L9L 6K8</t>
  </si>
  <si>
    <t>7313 Eagle Ave.</t>
  </si>
  <si>
    <t>Saint Petersburg, FL 33710</t>
  </si>
  <si>
    <t>127 Rockwell Lane</t>
  </si>
  <si>
    <t>Miami, FL 33135</t>
  </si>
  <si>
    <t>107 Cedar Street</t>
  </si>
  <si>
    <t>New Port Richey, FL 34653</t>
  </si>
  <si>
    <t>20 Ivy St.</t>
  </si>
  <si>
    <t>Fort Lauderdale, FL 33312</t>
  </si>
  <si>
    <t>63 Stillwater St.</t>
  </si>
  <si>
    <t>Tampa, FL 33614</t>
  </si>
  <si>
    <t>209 North Newbridge Drive</t>
  </si>
  <si>
    <t>Jacksonville, FL 32205</t>
  </si>
  <si>
    <t>85 Ridgeview Drive</t>
  </si>
  <si>
    <t>Miami, FL 33161</t>
  </si>
  <si>
    <t>60 Surrey Rd.</t>
  </si>
  <si>
    <t>Bradenton, FL 34205</t>
  </si>
  <si>
    <t>556 Pleasant St.</t>
  </si>
  <si>
    <t>Fort Myers, FL 33912</t>
  </si>
  <si>
    <t>31 Heritage Street</t>
  </si>
  <si>
    <t>Tampa, FL 33624</t>
  </si>
  <si>
    <t>8904 Vermont Drive</t>
  </si>
  <si>
    <t>Opa Locka, FL 33055</t>
  </si>
  <si>
    <t>886 Snake Hill St.</t>
  </si>
  <si>
    <t>Winter Haven, FL 33880</t>
  </si>
  <si>
    <t>212 Canal St.</t>
  </si>
  <si>
    <t>Lake Worth, FL 33460</t>
  </si>
  <si>
    <t>9974 Holly Dr.</t>
  </si>
  <si>
    <t>Lake Wales, FL 33853</t>
  </si>
  <si>
    <t>7342 Woodland Avenue</t>
  </si>
  <si>
    <t>Fort Lauderdale, FL 33309</t>
  </si>
  <si>
    <t>20 West Gates St.</t>
  </si>
  <si>
    <t>Fort Lauderdale, FL 33322</t>
  </si>
  <si>
    <t>22 Wall St.</t>
  </si>
  <si>
    <t>Fort Lauderdale, FL 33319</t>
  </si>
  <si>
    <t>7342A Edgefield Street</t>
  </si>
  <si>
    <t>Boca Raton, FL 33428</t>
  </si>
  <si>
    <t>19 Charles St.</t>
  </si>
  <si>
    <t>Hallandale, FL 33009</t>
  </si>
  <si>
    <t>8123 York Ave.</t>
  </si>
  <si>
    <t>Pensacola, FL 32526</t>
  </si>
  <si>
    <t>9315 Arcadia St.</t>
  </si>
  <si>
    <t>Hollywood, FL 33029</t>
  </si>
  <si>
    <t>9447 Jackson Court</t>
  </si>
  <si>
    <t>Miami, FL 33179</t>
  </si>
  <si>
    <t>8407 Snake Hill Street</t>
  </si>
  <si>
    <t>Miami, FL 33183</t>
  </si>
  <si>
    <t>60 West Prince St.</t>
  </si>
  <si>
    <t>Pompano Beach, FL 33063</t>
  </si>
  <si>
    <t>192 Birchpond Ave.</t>
  </si>
  <si>
    <t>Lakeland, FL 33801</t>
  </si>
  <si>
    <t>880 Mayfair St.</t>
  </si>
  <si>
    <t>Hialeah, FL 33013</t>
  </si>
  <si>
    <t>83 8th St.</t>
  </si>
  <si>
    <t>West Palm Beach, FL 33411</t>
  </si>
  <si>
    <t>7270 Shadow Brook Dr.</t>
  </si>
  <si>
    <t>Jacksonville, FL 32208</t>
  </si>
  <si>
    <t>9505 Sutor Dr.</t>
  </si>
  <si>
    <t>Orlando, FL 32812</t>
  </si>
  <si>
    <t>26 Lawrence Drive</t>
  </si>
  <si>
    <t>West Palm Beach, FL 33415</t>
  </si>
  <si>
    <t>7147 Heather St.</t>
  </si>
  <si>
    <t>Orlando, FL 32810</t>
  </si>
  <si>
    <t>287 E. Woodland Ave.</t>
  </si>
  <si>
    <t>Pompano Beach, FL 33064</t>
  </si>
  <si>
    <t>16 Monroe Dr.</t>
  </si>
  <si>
    <t>Key West, FL 33040</t>
  </si>
  <si>
    <t>59 Pumpkin Hill Drive</t>
  </si>
  <si>
    <t>Panama City, FL 32404</t>
  </si>
  <si>
    <t>88 Deerfield Street</t>
  </si>
  <si>
    <t>Hollywood, FL 33025</t>
  </si>
  <si>
    <t>88 Marsh Road</t>
  </si>
  <si>
    <t>Winter Springs, FL 32708</t>
  </si>
  <si>
    <t>251 SW. Ramblewood Ave.</t>
  </si>
  <si>
    <t>Miami, FL 33162</t>
  </si>
  <si>
    <t>15 Bow Ridge Dr.</t>
  </si>
  <si>
    <t>Miami, FL 33175</t>
  </si>
  <si>
    <t>691 Baker Rd.</t>
  </si>
  <si>
    <t>Port Orange, FL 32127</t>
  </si>
  <si>
    <t>32 Adams Court</t>
  </si>
  <si>
    <t>Tampa, FL 33617</t>
  </si>
  <si>
    <t>969 Summerhouse Dr.</t>
  </si>
  <si>
    <t>Fort Lauderdale, FL 33321</t>
  </si>
  <si>
    <t>61 College Rd.</t>
  </si>
  <si>
    <t>Hollywood, FL 33021</t>
  </si>
  <si>
    <t>344 Summerhouse Ave.</t>
  </si>
  <si>
    <t>Dunedin, FL 34698</t>
  </si>
  <si>
    <t>164 Albany Dr.</t>
  </si>
  <si>
    <t>West Palm Beach, FL 33414</t>
  </si>
  <si>
    <t>9028 E. Overlook Street</t>
  </si>
  <si>
    <t>Lake Worth, FL 33467</t>
  </si>
  <si>
    <t>300 San Carlos Street</t>
  </si>
  <si>
    <t>Miami, FL 33196</t>
  </si>
  <si>
    <t>19 Carriage Court</t>
  </si>
  <si>
    <t>Orlando, FL 32818</t>
  </si>
  <si>
    <t>3 Henry St.</t>
  </si>
  <si>
    <t>Orlando, FL 32839</t>
  </si>
  <si>
    <t>7743 Boston Street</t>
  </si>
  <si>
    <t>Brandon, FL 33511</t>
  </si>
  <si>
    <t>9543 Marlborough Street</t>
  </si>
  <si>
    <t>Valrico, FL 33594</t>
  </si>
  <si>
    <t>42 Lakeshore Avenue</t>
  </si>
  <si>
    <t>Melbourne, FL 32935</t>
  </si>
  <si>
    <t>77 Rocky River Ave.</t>
  </si>
  <si>
    <t>Jacksonville, FL 32209</t>
  </si>
  <si>
    <t>68 Woodland Ave.</t>
  </si>
  <si>
    <t>Fort Lauderdale, FL 33334</t>
  </si>
  <si>
    <t>9413 Lexington Dr.</t>
  </si>
  <si>
    <t>Jupiter, FL 33458</t>
  </si>
  <si>
    <t>727 Cardinal Ave.</t>
  </si>
  <si>
    <t>Deltona, FL 32738</t>
  </si>
  <si>
    <t>49 Colonial Street</t>
  </si>
  <si>
    <t>Boynton Beach, FL 33435</t>
  </si>
  <si>
    <t>73 Pulaski Street</t>
  </si>
  <si>
    <t>Fort Lauderdale, FL 33351</t>
  </si>
  <si>
    <t>9969 Primrose Drive</t>
  </si>
  <si>
    <t>Palm Harbor, FL 34683</t>
  </si>
  <si>
    <t>164 West Coffee St.</t>
  </si>
  <si>
    <t>Homestead, FL 33033</t>
  </si>
  <si>
    <t>7236 Albany Court</t>
  </si>
  <si>
    <t>Orlando, FL 32837</t>
  </si>
  <si>
    <t>9 East San Carlos Ave.</t>
  </si>
  <si>
    <t>Boca Raton, FL 33433</t>
  </si>
  <si>
    <t>7939 Gates St.</t>
  </si>
  <si>
    <t>Tampa, FL 33612</t>
  </si>
  <si>
    <t>111 Rockledge Street</t>
  </si>
  <si>
    <t>Miami, FL 33134</t>
  </si>
  <si>
    <t>32 Vernon St.</t>
  </si>
  <si>
    <t>Daytona Beach, FL 32119</t>
  </si>
  <si>
    <t>794 Philmont Ave.</t>
  </si>
  <si>
    <t>Jacksonville, FL 32257</t>
  </si>
  <si>
    <t>7600 Campfire Street</t>
  </si>
  <si>
    <t>Miami, FL 33165</t>
  </si>
  <si>
    <t>527 South Indian Summer Court</t>
  </si>
  <si>
    <t>Miami, FL 33177</t>
  </si>
  <si>
    <t>72 S. Lakeview St.</t>
  </si>
  <si>
    <t>Gainesville, FL 32608</t>
  </si>
  <si>
    <t>47 Leatherwood Ave.</t>
  </si>
  <si>
    <t>Port Saint Lucie, FL 34952</t>
  </si>
  <si>
    <t>7 Bridle Street</t>
  </si>
  <si>
    <t>Tallahassee, FL 32303</t>
  </si>
  <si>
    <t>3 North Augusta Road</t>
  </si>
  <si>
    <t>Tallahassee, FL 32304</t>
  </si>
  <si>
    <t>848 Lees Creek Ave.</t>
  </si>
  <si>
    <t>Casselberry, FL 32707</t>
  </si>
  <si>
    <t>943 Brookside St.</t>
  </si>
  <si>
    <t>Miami, FL 33176</t>
  </si>
  <si>
    <t>791 Lexington Ave.</t>
  </si>
  <si>
    <t>Lake Worth, FL 33463</t>
  </si>
  <si>
    <t>8429 Bellevue Avenue</t>
  </si>
  <si>
    <t>Hollywood, FL 33024</t>
  </si>
  <si>
    <t>46 Marlborough Drive</t>
  </si>
  <si>
    <t>Hialeah, FL 33018</t>
  </si>
  <si>
    <t>9064 William St.</t>
  </si>
  <si>
    <t>Miami, FL 33173</t>
  </si>
  <si>
    <t>4 Belmont Drive</t>
  </si>
  <si>
    <t>Miami, FL 33193</t>
  </si>
  <si>
    <t>788 Glenholme Dr.</t>
  </si>
  <si>
    <t>Tampa, FL 33615</t>
  </si>
  <si>
    <t>93 Magnolia Ave.</t>
  </si>
  <si>
    <t>Jacksonville, FL 32225</t>
  </si>
  <si>
    <t>93 N. Schoolhouse Street</t>
  </si>
  <si>
    <t>Miami, FL 33186</t>
  </si>
  <si>
    <t>719 Penn Dr.</t>
  </si>
  <si>
    <t>Pensacola, FL 32503</t>
  </si>
  <si>
    <t>9 Arrowhead Street</t>
  </si>
  <si>
    <t>Lakeland, FL 33813</t>
  </si>
  <si>
    <t>176B South Victoria Drive</t>
  </si>
  <si>
    <t>Sarasota, FL 34231</t>
  </si>
  <si>
    <t>333 South Tower Ave.</t>
  </si>
  <si>
    <t>Boynton Beach, FL 33436</t>
  </si>
  <si>
    <t>952 Acacia Ave.</t>
  </si>
  <si>
    <t>Pompano Beach, FL 33068</t>
  </si>
  <si>
    <t>9973 Armstrong St.</t>
  </si>
  <si>
    <t>Orlando, FL 32808</t>
  </si>
  <si>
    <t>8241 Devon Dr.</t>
  </si>
  <si>
    <t>Oviedo, FL 32765</t>
  </si>
  <si>
    <t>419 Sheffield St.</t>
  </si>
  <si>
    <t>Orlando, FL 32811</t>
  </si>
  <si>
    <t>8142 Amherst Circle</t>
  </si>
  <si>
    <t>Cape Coral, FL 33904</t>
  </si>
  <si>
    <t>345 South Trenton Dr.</t>
  </si>
  <si>
    <t>Middleburg, FL 32068</t>
  </si>
  <si>
    <t>80 Harvey Drive</t>
  </si>
  <si>
    <t>Jacksonville, FL 32244</t>
  </si>
  <si>
    <t>8827 Wilson Lane</t>
  </si>
  <si>
    <t>Ormond Beach, FL 32174</t>
  </si>
  <si>
    <t>7266 Trout Drive</t>
  </si>
  <si>
    <t>8028 S. Purple Finch Drive</t>
  </si>
  <si>
    <t>Miami, FL 33157</t>
  </si>
  <si>
    <t>88 South Brickyard Drive</t>
  </si>
  <si>
    <t>Altamonte Springs, FL 32714</t>
  </si>
  <si>
    <t>7434 Second Dr.</t>
  </si>
  <si>
    <t>Orlando, FL 32825</t>
  </si>
  <si>
    <t>8280 S. Pineknoll St.</t>
  </si>
  <si>
    <t>Fort Lauderdale, FL 33317</t>
  </si>
  <si>
    <t>8335 Hillcrest Drive</t>
  </si>
  <si>
    <t>Tampa, FL 33610</t>
  </si>
  <si>
    <t>8 Deerfield St.</t>
  </si>
  <si>
    <t>Miami, FL 33155</t>
  </si>
  <si>
    <t>8834 Jefferson St.</t>
  </si>
  <si>
    <t>Deltona, FL 32725</t>
  </si>
  <si>
    <t>9951 Strawberry Ave.</t>
  </si>
  <si>
    <t>Palm Bay, FL 32907</t>
  </si>
  <si>
    <t>778 South Street</t>
  </si>
  <si>
    <t>Tampa, FL 33604</t>
  </si>
  <si>
    <t>52 Van Dyke Road</t>
  </si>
  <si>
    <t>Jacksonville, FL 32224</t>
  </si>
  <si>
    <t>139 Mountainview St.</t>
  </si>
  <si>
    <t>Saint Petersburg, FL 33713</t>
  </si>
  <si>
    <t>422 Cedar St.</t>
  </si>
  <si>
    <t>Fort Lauderdale, FL 33313</t>
  </si>
  <si>
    <t>472 West Summit Drive</t>
  </si>
  <si>
    <t>Venice, FL 34293</t>
  </si>
  <si>
    <t>99 S. Pumpkin Hill Ave.</t>
  </si>
  <si>
    <t>Orlando, FL 32835</t>
  </si>
  <si>
    <t>7845 Howard St.</t>
  </si>
  <si>
    <t>Jacksonville, FL 32246</t>
  </si>
  <si>
    <t>8974 High Point St.</t>
  </si>
  <si>
    <t>Hollywood, FL 33023</t>
  </si>
  <si>
    <t>419 High St.</t>
  </si>
  <si>
    <t>Jacksonville, FL 32211</t>
  </si>
  <si>
    <t>8847 Oakwood St.</t>
  </si>
  <si>
    <t>Opa Locka, FL 33056</t>
  </si>
  <si>
    <t>709 Foxrun Ave.</t>
  </si>
  <si>
    <t>Miami Beach, FL 33141</t>
  </si>
  <si>
    <t>599 Glen Creek Drive</t>
  </si>
  <si>
    <t>Pompano Beach, FL 33065</t>
  </si>
  <si>
    <t>214 Adams Street</t>
  </si>
  <si>
    <t>Miami, FL 33125</t>
  </si>
  <si>
    <t>1 Grove St.</t>
  </si>
  <si>
    <t>Miami, FL 33172</t>
  </si>
  <si>
    <t>104 Manor St.</t>
  </si>
  <si>
    <t>Tallahassee, FL 32308</t>
  </si>
  <si>
    <t>832 West Dunbar Court</t>
  </si>
  <si>
    <t>Sarasota, FL 34232</t>
  </si>
  <si>
    <t>7704 Vale Ave.</t>
  </si>
  <si>
    <t>Miami, FL 33126</t>
  </si>
  <si>
    <t>9830 Shadow Brook Street</t>
  </si>
  <si>
    <t>Arcadia, FL 34266</t>
  </si>
  <si>
    <t>16 Bayberry St.</t>
  </si>
  <si>
    <t>Daytona Beach, FL 32114</t>
  </si>
  <si>
    <t>767 E. Gulf Avenue</t>
  </si>
  <si>
    <t>Miami, FL 33142</t>
  </si>
  <si>
    <t>8711 Clay Dr.</t>
  </si>
  <si>
    <t>Riverview, FL 33569</t>
  </si>
  <si>
    <t>359 South College Lane</t>
  </si>
  <si>
    <t>Leesburg, FL 34748</t>
  </si>
  <si>
    <t>656 Old York Lane</t>
  </si>
  <si>
    <t>Hialeah, FL 33015</t>
  </si>
  <si>
    <t>8272 Cobblestone Dr.</t>
  </si>
  <si>
    <t>Hialeah, FL 33014</t>
  </si>
  <si>
    <t>485 S. Park St.</t>
  </si>
  <si>
    <t>Fort Lauderdale, FL 33311</t>
  </si>
  <si>
    <t>170 Indian Spring Rd.</t>
  </si>
  <si>
    <t>Pensacola, FL 32514</t>
  </si>
  <si>
    <t>507 High Street</t>
  </si>
  <si>
    <t>Hialeah, FL 33012</t>
  </si>
  <si>
    <t>9080 Union St.</t>
  </si>
  <si>
    <t>Winter Park, FL 32792</t>
  </si>
  <si>
    <t>9585 Cleveland Ave.</t>
  </si>
  <si>
    <t>Palmetto, FL 34221</t>
  </si>
  <si>
    <t>95 Sierra Avenue</t>
  </si>
  <si>
    <t>Jacksonville, FL 32207</t>
  </si>
  <si>
    <t>7942 Winding Way Lane</t>
  </si>
  <si>
    <t>Clermont, FL 34711</t>
  </si>
  <si>
    <t>7043 Monroe Ave.</t>
  </si>
  <si>
    <t>Kissimmee, FL 34741</t>
  </si>
  <si>
    <t>8646 Homewood Street</t>
  </si>
  <si>
    <t>Sanford, FL 32771</t>
  </si>
  <si>
    <t>452 Ridge Lane</t>
  </si>
  <si>
    <t>Pensacola, FL 32506</t>
  </si>
  <si>
    <t>9055 W. Gonzales Street</t>
  </si>
  <si>
    <t>Pompano Beach, FL 33071</t>
  </si>
  <si>
    <t>7735 S. Marshall Circle</t>
  </si>
  <si>
    <t>Suite 3</t>
  </si>
  <si>
    <t>Pompano Beach, FL 33060</t>
  </si>
  <si>
    <t>231 Marsh Lane</t>
  </si>
  <si>
    <t>Apopka, FL 32703</t>
  </si>
  <si>
    <t>2 West Vine St.</t>
  </si>
  <si>
    <t>Miami, FL 33174</t>
  </si>
  <si>
    <t>62 Homewood Street</t>
  </si>
  <si>
    <t>Port Charlotte, FL 33952</t>
  </si>
  <si>
    <t>95 Delaware Dr.</t>
  </si>
  <si>
    <t>Fort Lauderdale, FL 33324</t>
  </si>
  <si>
    <t>8133 Sycamore Street</t>
  </si>
  <si>
    <t>Jacksonville, FL 32218</t>
  </si>
  <si>
    <t>8546 Ketch Harbour Ave.</t>
  </si>
  <si>
    <t>Miami Beach, FL 33139</t>
  </si>
  <si>
    <t>8683 South Drive</t>
  </si>
  <si>
    <t>Bradenton, FL 34208</t>
  </si>
  <si>
    <t>17 Silver Spear Drive</t>
  </si>
  <si>
    <t>Miami, FL 33156</t>
  </si>
  <si>
    <t>60 Lower River St.</t>
  </si>
  <si>
    <t>Lutz, FL 33549</t>
  </si>
  <si>
    <t>9661 Aspen St.</t>
  </si>
  <si>
    <t>North Miami Beach, FL 33160</t>
  </si>
  <si>
    <t>265 Mill Pond Dr.</t>
  </si>
  <si>
    <t>Miami, FL 33169</t>
  </si>
  <si>
    <t>7440 Cherry Hill Court</t>
  </si>
  <si>
    <t>Titusville, FL 32780</t>
  </si>
  <si>
    <t>8958 Golf St.</t>
  </si>
  <si>
    <t>Boynton Beach, FL 33437</t>
  </si>
  <si>
    <t>654 S. Jones Street</t>
  </si>
  <si>
    <t>Stuart, FL 34997</t>
  </si>
  <si>
    <t>735 E. Newbridge St.</t>
  </si>
  <si>
    <t>Lake Worth, FL 33461</t>
  </si>
  <si>
    <t>607 Cherry Hill Street</t>
  </si>
  <si>
    <t>Bradenton, FL 34207</t>
  </si>
  <si>
    <t>732 Prince Lane</t>
  </si>
  <si>
    <t>Bradenton, FL 34209</t>
  </si>
  <si>
    <t>27 Grandrose Ave.</t>
  </si>
  <si>
    <t>Port Richey, FL 34668</t>
  </si>
  <si>
    <t>895 Sleepy Hollow St.</t>
  </si>
  <si>
    <t>Orange Park, FL 32073</t>
  </si>
  <si>
    <t>767 North Miller St.</t>
  </si>
  <si>
    <t>Miami, FL 33147</t>
  </si>
  <si>
    <t>7049 Water Road</t>
  </si>
  <si>
    <t>Hialeah, FL 33016</t>
  </si>
  <si>
    <t>17 South Court</t>
  </si>
  <si>
    <t>Saint Petersburg, FL 33702</t>
  </si>
  <si>
    <t>9198 West Grant Street</t>
  </si>
  <si>
    <t>Orlando, FL 32822</t>
  </si>
  <si>
    <t>50 Lawrence Rd.</t>
  </si>
  <si>
    <t>Tallahassee, FL 32310</t>
  </si>
  <si>
    <t>858 Race St.</t>
  </si>
  <si>
    <t>Jacksonville, FL 32210</t>
  </si>
  <si>
    <t>93 East Longbranch Dr.</t>
  </si>
  <si>
    <t>Hollywood, FL 33020</t>
  </si>
  <si>
    <t>19 Victoria Street</t>
  </si>
  <si>
    <t>London</t>
  </si>
  <si>
    <t>NW48 5MP</t>
  </si>
  <si>
    <t>135 Kingsway</t>
  </si>
  <si>
    <t>N87 3AI</t>
  </si>
  <si>
    <t>41 School Lane</t>
  </si>
  <si>
    <t>NW31 7RM</t>
  </si>
  <si>
    <t>45 Park Road</t>
  </si>
  <si>
    <t>SE80 5TY</t>
  </si>
  <si>
    <t>54 Kingsway</t>
  </si>
  <si>
    <t>N75 6DC</t>
  </si>
  <si>
    <t>9746 Church Lane</t>
  </si>
  <si>
    <t>WC57 1VD</t>
  </si>
  <si>
    <t>9241 Grove Road</t>
  </si>
  <si>
    <t>SE50 2RD</t>
  </si>
  <si>
    <t>16 West Street</t>
  </si>
  <si>
    <t>N51 9IV</t>
  </si>
  <si>
    <t>168 The Green</t>
  </si>
  <si>
    <t>N47 9MT</t>
  </si>
  <si>
    <t>54 West Street</t>
  </si>
  <si>
    <t>N49 7QC</t>
  </si>
  <si>
    <t>165 Springfield Road</t>
  </si>
  <si>
    <t>E03 6OB</t>
  </si>
  <si>
    <t>6 Queen Street</t>
  </si>
  <si>
    <t>SW74 3DH</t>
  </si>
  <si>
    <t>64 South Street</t>
  </si>
  <si>
    <t>W94 3IX</t>
  </si>
  <si>
    <t>74 High Street</t>
  </si>
  <si>
    <t>NW61 4VP</t>
  </si>
  <si>
    <t>601 London Road</t>
  </si>
  <si>
    <t>E98 4TE</t>
  </si>
  <si>
    <t>94 High Street</t>
  </si>
  <si>
    <t>NW45 7HR</t>
  </si>
  <si>
    <t>46 Victoria Street</t>
  </si>
  <si>
    <t>W96 8WX</t>
  </si>
  <si>
    <t>78 Queens Road</t>
  </si>
  <si>
    <t>NW54 0QU</t>
  </si>
  <si>
    <t>9 Station Road</t>
  </si>
  <si>
    <t>EC65 7IP</t>
  </si>
  <si>
    <t>47 Green Lane</t>
  </si>
  <si>
    <t>NW58 2FV</t>
  </si>
  <si>
    <t>71 North Street</t>
  </si>
  <si>
    <t>W85 2FV</t>
  </si>
  <si>
    <t>68 School Lane</t>
  </si>
  <si>
    <t>SW78 3UE</t>
  </si>
  <si>
    <t>51 Manchester Road</t>
  </si>
  <si>
    <t>NW17 8IR</t>
  </si>
  <si>
    <t>11 Church Street</t>
  </si>
  <si>
    <t>E17 8EH</t>
  </si>
  <si>
    <t>468 Springfield Road</t>
  </si>
  <si>
    <t>SW96 2IA</t>
  </si>
  <si>
    <t>47 Windsor Road</t>
  </si>
  <si>
    <t>E76 2PS</t>
  </si>
  <si>
    <t>21 Grange Road</t>
  </si>
  <si>
    <t>SE96 8YE</t>
  </si>
  <si>
    <t>2 Richmond Road</t>
  </si>
  <si>
    <t>SW71 6OY</t>
  </si>
  <si>
    <t>95 Highfield Road</t>
  </si>
  <si>
    <t>N05 7OW</t>
  </si>
  <si>
    <t>145 The Grove</t>
  </si>
  <si>
    <t>N56 8HM</t>
  </si>
  <si>
    <t>953 School Lane</t>
  </si>
  <si>
    <t>E64 5WK</t>
  </si>
  <si>
    <t>96 Mill Road</t>
  </si>
  <si>
    <t>SE54 9NC</t>
  </si>
  <si>
    <t>481 Park Road</t>
  </si>
  <si>
    <t>NW10 6DG</t>
  </si>
  <si>
    <t>82 Kingsway</t>
  </si>
  <si>
    <t>E73 8ZM</t>
  </si>
  <si>
    <t>800 Mill Road</t>
  </si>
  <si>
    <t>NW83 2EN</t>
  </si>
  <si>
    <t>93 South Street</t>
  </si>
  <si>
    <t>SW31 4DR</t>
  </si>
  <si>
    <t>136 Kingsway</t>
  </si>
  <si>
    <t>N59 6EV</t>
  </si>
  <si>
    <t>95 Church Lane</t>
  </si>
  <si>
    <t>N85 0RM</t>
  </si>
  <si>
    <t>26 Grove Road</t>
  </si>
  <si>
    <t>EC01 3ZX</t>
  </si>
  <si>
    <t>9268 High Street</t>
  </si>
  <si>
    <t>WC82 9HS</t>
  </si>
  <si>
    <t>34 Manor Road</t>
  </si>
  <si>
    <t>NW45 6ST</t>
  </si>
  <si>
    <t>9047 York Road</t>
  </si>
  <si>
    <t>W14 9ZK</t>
  </si>
  <si>
    <t>W09 2TG</t>
  </si>
  <si>
    <t>9829 York Road</t>
  </si>
  <si>
    <t>SE98 6GP</t>
  </si>
  <si>
    <t>65 Kings Road</t>
  </si>
  <si>
    <t>SE57 3KJ</t>
  </si>
  <si>
    <t>9541 The Avenue</t>
  </si>
  <si>
    <t>N19 4UF</t>
  </si>
  <si>
    <t>45 Main Road</t>
  </si>
  <si>
    <t>EC64 1KL</t>
  </si>
  <si>
    <t>352 Highfield Road</t>
  </si>
  <si>
    <t>EC82 3UN</t>
  </si>
  <si>
    <t>710 Richmond Road</t>
  </si>
  <si>
    <t>W56 7HP</t>
  </si>
  <si>
    <t>60 Kingsway</t>
  </si>
  <si>
    <t>NW31 4PH</t>
  </si>
  <si>
    <t>95 South Street</t>
  </si>
  <si>
    <t>NW58 7WR</t>
  </si>
  <si>
    <t>16 Green Lane</t>
  </si>
  <si>
    <t>N83 0BL</t>
  </si>
  <si>
    <t>208 Grove Road</t>
  </si>
  <si>
    <t>W43 9QS</t>
  </si>
  <si>
    <t>6 Main Road</t>
  </si>
  <si>
    <t>SW18 9FH</t>
  </si>
  <si>
    <t>85 Broadway</t>
  </si>
  <si>
    <t>N71 3MK</t>
  </si>
  <si>
    <t>72 Queen Street</t>
  </si>
  <si>
    <t>SE85 6RQ</t>
  </si>
  <si>
    <t>877 North Road</t>
  </si>
  <si>
    <t>W93 5YP</t>
  </si>
  <si>
    <t>18 York Road</t>
  </si>
  <si>
    <t>N49 2BS</t>
  </si>
  <si>
    <t>1 The Avenue</t>
  </si>
  <si>
    <t>W02 8UK</t>
  </si>
  <si>
    <t>549 West Street</t>
  </si>
  <si>
    <t>NW17 2GU</t>
  </si>
  <si>
    <t>62 Richmond Road</t>
  </si>
  <si>
    <t>W42 9AC</t>
  </si>
  <si>
    <t>89 West Street</t>
  </si>
  <si>
    <t>EC06 1BX</t>
  </si>
  <si>
    <t>45 The Crescent</t>
  </si>
  <si>
    <t>SE53 2CJ</t>
  </si>
  <si>
    <t>42 Albert Road</t>
  </si>
  <si>
    <t>W73 9BU</t>
  </si>
  <si>
    <t>28 Windsor Road</t>
  </si>
  <si>
    <t>EC06 3FQ</t>
  </si>
  <si>
    <t>36 Albert Road</t>
  </si>
  <si>
    <t>W06 3RG</t>
  </si>
  <si>
    <t>3 St. John’s Road</t>
  </si>
  <si>
    <t>WC80 6TR</t>
  </si>
  <si>
    <t>16 School Lane</t>
  </si>
  <si>
    <t>E18 4JN</t>
  </si>
  <si>
    <t>22 Church Street</t>
  </si>
  <si>
    <t>NW51 4UV</t>
  </si>
  <si>
    <t>91 Springfield Road</t>
  </si>
  <si>
    <t>SW78 0SY</t>
  </si>
  <si>
    <t>96 The Avenue</t>
  </si>
  <si>
    <t>SE59 7HT</t>
  </si>
  <si>
    <t>17 North Road</t>
  </si>
  <si>
    <t>E76 4QI</t>
  </si>
  <si>
    <t>5 George Street</t>
  </si>
  <si>
    <t>N05 2BR</t>
  </si>
  <si>
    <t>78 Church Road</t>
  </si>
  <si>
    <t>E48 9XF</t>
  </si>
  <si>
    <t>44 Manor Road</t>
  </si>
  <si>
    <t>SW74 1UW</t>
  </si>
  <si>
    <t>9822 Victoria Street</t>
  </si>
  <si>
    <t>NW53 4EZ</t>
  </si>
  <si>
    <t>90 St. John’s Road</t>
  </si>
  <si>
    <t>E21 5SK</t>
  </si>
  <si>
    <t>93 London Road</t>
  </si>
  <si>
    <t>N67 8OM</t>
  </si>
  <si>
    <t>82 West Street</t>
  </si>
  <si>
    <t>W06 1LQ</t>
  </si>
  <si>
    <t>17 Manchester Road</t>
  </si>
  <si>
    <t>WC13 9CG</t>
  </si>
  <si>
    <t>7 Stanley Road</t>
  </si>
  <si>
    <t>EC36 4JR</t>
  </si>
  <si>
    <t>9482 Richmond Road</t>
  </si>
  <si>
    <t>SW21 0LV</t>
  </si>
  <si>
    <t>319 The Grove</t>
  </si>
  <si>
    <t>E75 8HS</t>
  </si>
  <si>
    <t>580 Broadway</t>
  </si>
  <si>
    <t>N85 9WT</t>
  </si>
  <si>
    <t>65 High Street</t>
  </si>
  <si>
    <t>N12 0BH</t>
  </si>
  <si>
    <t>87 Main Road</t>
  </si>
  <si>
    <t>WC72 9SR</t>
  </si>
  <si>
    <t>71 Stanley Road</t>
  </si>
  <si>
    <t>WC50 3YX</t>
  </si>
  <si>
    <t>9496 Main Street</t>
  </si>
  <si>
    <t>EC92 0MA</t>
  </si>
  <si>
    <t>517 Stanley Road</t>
  </si>
  <si>
    <t>SW28 3JH</t>
  </si>
  <si>
    <t>382 West Street</t>
  </si>
  <si>
    <t>SE06 9AR</t>
  </si>
  <si>
    <t>69 High Street</t>
  </si>
  <si>
    <t>N75 9BF</t>
  </si>
  <si>
    <t>859 George Street</t>
  </si>
  <si>
    <t>N12 9TU</t>
  </si>
  <si>
    <t>41 Alexander Road</t>
  </si>
  <si>
    <t>NW29 1SG</t>
  </si>
  <si>
    <t>763 The Green</t>
  </si>
  <si>
    <t>E86 3DU</t>
  </si>
  <si>
    <t>84 Church Lane</t>
  </si>
  <si>
    <t>E61 2JK</t>
  </si>
  <si>
    <t>5 King Street</t>
  </si>
  <si>
    <t>SW74 1QG</t>
  </si>
  <si>
    <t>319 Alexander Road</t>
  </si>
  <si>
    <t>NW41 9IZ</t>
  </si>
  <si>
    <t>9 Chester Road</t>
  </si>
  <si>
    <t>NW12 4XH</t>
  </si>
  <si>
    <t>363 The Green</t>
  </si>
  <si>
    <t>W28 9FC</t>
  </si>
  <si>
    <t>62 The Green</t>
  </si>
  <si>
    <t>NW06 8XV</t>
  </si>
  <si>
    <t>78 Springfield Road</t>
  </si>
  <si>
    <t>NW41 6MG</t>
  </si>
  <si>
    <t>92 Church Lane</t>
  </si>
  <si>
    <t>N23 0XZ</t>
  </si>
  <si>
    <t>9 Main Road</t>
  </si>
  <si>
    <t>SW19 4ZN</t>
  </si>
  <si>
    <t>9529 Springfield Road</t>
  </si>
  <si>
    <t>SW41 7WV</t>
  </si>
  <si>
    <t>76 The Grove</t>
  </si>
  <si>
    <t>SE80 7ZT</t>
  </si>
  <si>
    <t>72 New Road</t>
  </si>
  <si>
    <t>N70 4MS</t>
  </si>
  <si>
    <t>5 Victoria Street</t>
  </si>
  <si>
    <t>N28 3JE</t>
  </si>
  <si>
    <t>89 York Road</t>
  </si>
  <si>
    <t>NW26 3BP</t>
  </si>
  <si>
    <t>9535 Manchester Road</t>
  </si>
  <si>
    <t>N85 7LD</t>
  </si>
  <si>
    <t>925 George Street</t>
  </si>
  <si>
    <t>NW69 5KE</t>
  </si>
  <si>
    <t>520 Albert Road</t>
  </si>
  <si>
    <t>SE34 0ME</t>
  </si>
  <si>
    <t>68 Main Road</t>
  </si>
  <si>
    <t>N36 2IX</t>
  </si>
  <si>
    <t>567 Albert Road</t>
  </si>
  <si>
    <t>WC72 9NZ</t>
  </si>
  <si>
    <t>38 Richmond Road</t>
  </si>
  <si>
    <t>W46 2BU</t>
  </si>
  <si>
    <t>23 Park Avenue</t>
  </si>
  <si>
    <t>SW89 6BP</t>
  </si>
  <si>
    <t>9772 George Street</t>
  </si>
  <si>
    <t>EC32 7ZT</t>
  </si>
  <si>
    <t>584 Park Avenue</t>
  </si>
  <si>
    <t>SW73 5IR</t>
  </si>
  <si>
    <t>99 High Street</t>
  </si>
  <si>
    <t>W07 1MG</t>
  </si>
  <si>
    <t>81 Manor Road</t>
  </si>
  <si>
    <t>N69 4QH</t>
  </si>
  <si>
    <t>47 St. John’s Road</t>
  </si>
  <si>
    <t>SE32 0CN</t>
  </si>
  <si>
    <t>21 Manor Road</t>
  </si>
  <si>
    <t>EC85 9TN</t>
  </si>
  <si>
    <t>82 George Street</t>
  </si>
  <si>
    <t>WC75 0HJ</t>
  </si>
  <si>
    <t>9459 King Street</t>
  </si>
  <si>
    <t>WC09 3CX</t>
  </si>
  <si>
    <t>7 South Street</t>
  </si>
  <si>
    <t>E78 3QR</t>
  </si>
  <si>
    <t>288 Broadway</t>
  </si>
  <si>
    <t>N82 6DQ</t>
  </si>
  <si>
    <t>79 North Road</t>
  </si>
  <si>
    <t>NW36 9XU</t>
  </si>
  <si>
    <t>13 Victoria Road</t>
  </si>
  <si>
    <t>W62 7UD</t>
  </si>
  <si>
    <t>43 The Green</t>
  </si>
  <si>
    <t>N75 9JP</t>
  </si>
  <si>
    <t>42 Stanley Road</t>
  </si>
  <si>
    <t>WC10 7YI</t>
  </si>
  <si>
    <t>477 London Road</t>
  </si>
  <si>
    <t>W39 2MS</t>
  </si>
  <si>
    <t>1 North Road</t>
  </si>
  <si>
    <t>SE21 8PJ</t>
  </si>
  <si>
    <t>23 Main Road</t>
  </si>
  <si>
    <t>W79 6UG</t>
  </si>
  <si>
    <t>874 Manor Road</t>
  </si>
  <si>
    <t>EC17 3MA</t>
  </si>
  <si>
    <t>954 Windsor Road</t>
  </si>
  <si>
    <t>WC13 6VO</t>
  </si>
  <si>
    <t>823 The Green</t>
  </si>
  <si>
    <t>W95 4IQ</t>
  </si>
  <si>
    <t>9 Stanley Road</t>
  </si>
  <si>
    <t>N74 6MB</t>
  </si>
  <si>
    <t>45 South Street</t>
  </si>
  <si>
    <t>SE29 0XB</t>
  </si>
  <si>
    <t>1 Kings Road</t>
  </si>
  <si>
    <t>SW63 0GX</t>
  </si>
  <si>
    <t>75 The Drive</t>
  </si>
  <si>
    <t>NW49 8JX</t>
  </si>
  <si>
    <t>919 Queensway</t>
  </si>
  <si>
    <t>E25 7BW</t>
  </si>
  <si>
    <t>893 Church Lane</t>
  </si>
  <si>
    <t>SE91 4YS</t>
  </si>
  <si>
    <t>9633 Highfield Road</t>
  </si>
  <si>
    <t>WC40 6RS</t>
  </si>
  <si>
    <t>EC74 0XB</t>
  </si>
  <si>
    <t>42 Kingsway</t>
  </si>
  <si>
    <t>SE59 1ZQ</t>
  </si>
  <si>
    <t>44 Grove Road</t>
  </si>
  <si>
    <t>W52 6WK</t>
  </si>
  <si>
    <t>72 The Grove</t>
  </si>
  <si>
    <t>NW50 1WE</t>
  </si>
  <si>
    <t>79 The Avenue</t>
  </si>
  <si>
    <t>WC28 1FM</t>
  </si>
  <si>
    <t>593 New Road</t>
  </si>
  <si>
    <t>SW43 0ZK</t>
  </si>
  <si>
    <t>85 Victoria Street</t>
  </si>
  <si>
    <t>SW74 5VB</t>
  </si>
  <si>
    <t>302 Kingsway</t>
  </si>
  <si>
    <t>E48 1ZX</t>
  </si>
  <si>
    <t>220 Manchester Road</t>
  </si>
  <si>
    <t>SW25 9DQ</t>
  </si>
  <si>
    <t>650 Queensway</t>
  </si>
  <si>
    <t>SE15 3HN</t>
  </si>
  <si>
    <t>9518 Mill Road</t>
  </si>
  <si>
    <t>NW19 5DQ</t>
  </si>
  <si>
    <t>9833 Main Road</t>
  </si>
  <si>
    <t>NW83 9CK</t>
  </si>
  <si>
    <t>9 Grange Road</t>
  </si>
  <si>
    <t>WC26 5BI</t>
  </si>
  <si>
    <t>19 The Avenue</t>
  </si>
  <si>
    <t>W45 7MN</t>
  </si>
  <si>
    <t>575 Park Avenue</t>
  </si>
  <si>
    <t>SW21 9ZX</t>
  </si>
  <si>
    <t>5 Mill Road</t>
  </si>
  <si>
    <t>N91 6SR</t>
  </si>
  <si>
    <t>9505 The Grove</t>
  </si>
  <si>
    <t>SE31 9GQ</t>
  </si>
  <si>
    <t>51 George Street</t>
  </si>
  <si>
    <t>W96 5MH</t>
  </si>
  <si>
    <t>437 Queensway</t>
  </si>
  <si>
    <t>NW87 0HE</t>
  </si>
  <si>
    <t>364 The Green</t>
  </si>
  <si>
    <t>EC47 2KO</t>
  </si>
  <si>
    <t>4 Mill Road</t>
  </si>
  <si>
    <t>SW50 4KB</t>
  </si>
  <si>
    <t>5 High Street</t>
  </si>
  <si>
    <t>N10 8HK</t>
  </si>
  <si>
    <t>11 The Avenue</t>
  </si>
  <si>
    <t>NW16 9IB</t>
  </si>
  <si>
    <t>3 Manor Road</t>
  </si>
  <si>
    <t>W64 5TV</t>
  </si>
  <si>
    <t>76 Queensway</t>
  </si>
  <si>
    <t>WC10 3BR</t>
  </si>
  <si>
    <t>21 Alexander Road</t>
  </si>
  <si>
    <t>N20 5KT</t>
  </si>
  <si>
    <t>24 Kings Road</t>
  </si>
  <si>
    <t>WC58 1WY</t>
  </si>
  <si>
    <t>666 St. John’s Road</t>
  </si>
  <si>
    <t>NW49 1FQ</t>
  </si>
  <si>
    <t>94 New Road</t>
  </si>
  <si>
    <t>NW54 0QY</t>
  </si>
  <si>
    <t>87 St. John’s Road</t>
  </si>
  <si>
    <t>EC54 6EY</t>
  </si>
  <si>
    <t>73 Chester Road</t>
  </si>
  <si>
    <t>SE36 8WH</t>
  </si>
  <si>
    <t>952 London Road</t>
  </si>
  <si>
    <t>W12 6MQ</t>
  </si>
  <si>
    <t>386 Richmond Road</t>
  </si>
  <si>
    <t>EC70 8TD</t>
  </si>
  <si>
    <t>515 New Road</t>
  </si>
  <si>
    <t>WC71 0UF</t>
  </si>
  <si>
    <t>16 George Street</t>
  </si>
  <si>
    <t>NW01 6ER</t>
  </si>
  <si>
    <t>25 Victoria Street</t>
  </si>
  <si>
    <t>W60 2PX</t>
  </si>
  <si>
    <t>93 St. John’s Road</t>
  </si>
  <si>
    <t>N10 2EQ</t>
  </si>
  <si>
    <t>9 Broadway</t>
  </si>
  <si>
    <t>W10 2TN</t>
  </si>
  <si>
    <t>5 Church Road</t>
  </si>
  <si>
    <t>SE07 3LY</t>
  </si>
  <si>
    <t>24 Richmond Road</t>
  </si>
  <si>
    <t>W75 0OS</t>
  </si>
  <si>
    <t>213 The Drive</t>
  </si>
  <si>
    <t>NW58 3QB</t>
  </si>
  <si>
    <t>561 Albert Road</t>
  </si>
  <si>
    <t>SW24 1UB</t>
  </si>
  <si>
    <t>28 Victoria Street</t>
  </si>
  <si>
    <t>SW80 9JL</t>
  </si>
  <si>
    <t>26 The Drive</t>
  </si>
  <si>
    <t>E73 0ZM</t>
  </si>
  <si>
    <t>27 Church Road</t>
  </si>
  <si>
    <t>WC52 1ML</t>
  </si>
  <si>
    <t>E54 2MI</t>
  </si>
  <si>
    <t>40 Woodland Dr.</t>
  </si>
  <si>
    <t>New York, NY 10011</t>
  </si>
  <si>
    <t>9453 South Pineknoll Drive</t>
  </si>
  <si>
    <t>Freeport, NY 11520</t>
  </si>
  <si>
    <t>847 S. Manor St.</t>
  </si>
  <si>
    <t>New York, NY 10031</t>
  </si>
  <si>
    <t>7071 Third St.</t>
  </si>
  <si>
    <t>Bronx, NY 10472</t>
  </si>
  <si>
    <t>8215 Atlantic St.</t>
  </si>
  <si>
    <t>Brooklyn, NY 11218</t>
  </si>
  <si>
    <t>735 N. Yukon Street</t>
  </si>
  <si>
    <t>Brooklyn, NY 11215</t>
  </si>
  <si>
    <t>3 Holly Ave.</t>
  </si>
  <si>
    <t>Ridgewood, NY 11385</t>
  </si>
  <si>
    <t>770 Carson St.</t>
  </si>
  <si>
    <t>Bronx, NY 10463</t>
  </si>
  <si>
    <t>47 Honey Creek Lane</t>
  </si>
  <si>
    <t>New York, NY 10023</t>
  </si>
  <si>
    <t>89 West Lakeview Dr.</t>
  </si>
  <si>
    <t>Bronx, NY 10456</t>
  </si>
  <si>
    <t>541 S. State Dr.</t>
  </si>
  <si>
    <t>Ithaca, NY 14850</t>
  </si>
  <si>
    <t>8759 Tanglewood Dr.</t>
  </si>
  <si>
    <t>Spring Valley, NY 10977</t>
  </si>
  <si>
    <t>9283 High Ridge Drive</t>
  </si>
  <si>
    <t>Brooklyn, NY 11208</t>
  </si>
  <si>
    <t>582 Honey Creek Road</t>
  </si>
  <si>
    <t>Bronx, NY 10461</t>
  </si>
  <si>
    <t>847 West Jockey Hollow Court</t>
  </si>
  <si>
    <t>Bronx, NY 10452</t>
  </si>
  <si>
    <t>720 Paris Hill St.</t>
  </si>
  <si>
    <t>Huntington Station, NY 11746</t>
  </si>
  <si>
    <t>61 Bridle St.</t>
  </si>
  <si>
    <t>Brooklyn, NY 11212</t>
  </si>
  <si>
    <t>9555 Purple Finch Dr.</t>
  </si>
  <si>
    <t>Jamestown, NY 14701</t>
  </si>
  <si>
    <t>8473 South Lilac Court</t>
  </si>
  <si>
    <t>Newburgh, NY 12550</t>
  </si>
  <si>
    <t>855 Colonial St.</t>
  </si>
  <si>
    <t>Brooklyn, NY 11236</t>
  </si>
  <si>
    <t>48 Sunbeam St.</t>
  </si>
  <si>
    <t>West Babylon, NY 11704</t>
  </si>
  <si>
    <t>440 Cactus St.</t>
  </si>
  <si>
    <t>Brooklyn, NY 11204</t>
  </si>
  <si>
    <t>36 NW. Pierce St.</t>
  </si>
  <si>
    <t>Staten Island, NY 10312</t>
  </si>
  <si>
    <t>832 Lake Forest Rd.</t>
  </si>
  <si>
    <t>Astoria, NY 11106</t>
  </si>
  <si>
    <t>810 10th St.</t>
  </si>
  <si>
    <t>Patchogue, NY 11772</t>
  </si>
  <si>
    <t>268 E. Penn Circle</t>
  </si>
  <si>
    <t>Lindenhurst, NY 11757</t>
  </si>
  <si>
    <t>606 Galvin Street</t>
  </si>
  <si>
    <t>Astoria, NY 11105</t>
  </si>
  <si>
    <t>940 Riverside Court</t>
  </si>
  <si>
    <t>9485 S. Pheasant Dr.</t>
  </si>
  <si>
    <t>Levittown, NY 11756</t>
  </si>
  <si>
    <t>54 Indian Summer Street</t>
  </si>
  <si>
    <t>East Elmhurst, NY 11370</t>
  </si>
  <si>
    <t>719 Center Ave.</t>
  </si>
  <si>
    <t>Bronx, NY 10467</t>
  </si>
  <si>
    <t>91 SE. Pierce Ave.</t>
  </si>
  <si>
    <t>Brooklyn, NY 11206</t>
  </si>
  <si>
    <t>73 Alderwood St.</t>
  </si>
  <si>
    <t>Fresh Meadows, NY 11365</t>
  </si>
  <si>
    <t>9163 South Oxford Ave.</t>
  </si>
  <si>
    <t>Jackson Heights, NY 11372</t>
  </si>
  <si>
    <t>8478 West St.</t>
  </si>
  <si>
    <t>Brooklyn, NY 11224</t>
  </si>
  <si>
    <t>8142 Lees Creek Rd.</t>
  </si>
  <si>
    <t>Corona, NY 11368</t>
  </si>
  <si>
    <t>70 Green Hill Drive</t>
  </si>
  <si>
    <t>Bronx, NY 10473</t>
  </si>
  <si>
    <t>9983 Woodside Street</t>
  </si>
  <si>
    <t>Endicott, NY 13760</t>
  </si>
  <si>
    <t>23 Tarkiln Hill Avenue</t>
  </si>
  <si>
    <t>Brooklyn, NY 11229</t>
  </si>
  <si>
    <t>7241 Cemetery Ave.</t>
  </si>
  <si>
    <t>Bronx, NY 10458</t>
  </si>
  <si>
    <t>85 Lookout Ave.</t>
  </si>
  <si>
    <t>Brooklyn, NY 11223</t>
  </si>
  <si>
    <t>37 Fairview Ave.</t>
  </si>
  <si>
    <t>Massapequa, NY 11758</t>
  </si>
  <si>
    <t>91 Annadale Road</t>
  </si>
  <si>
    <t>New York, NY 10025</t>
  </si>
  <si>
    <t>81 Bohemia Lane</t>
  </si>
  <si>
    <t>Brooklyn, NY 11209</t>
  </si>
  <si>
    <t>749 N. Beechwood Ave.</t>
  </si>
  <si>
    <t>Brooklyn, NY 11220</t>
  </si>
  <si>
    <t>759 E. Foxrun Ave.</t>
  </si>
  <si>
    <t>Bay Shore, NY 11706</t>
  </si>
  <si>
    <t>242 East 8th Lane</t>
  </si>
  <si>
    <t>Lockport, NY 14094</t>
  </si>
  <si>
    <t>8133 SE. Augusta Ave.</t>
  </si>
  <si>
    <t>Staten Island, NY 10306</t>
  </si>
  <si>
    <t>8497 3rd St.</t>
  </si>
  <si>
    <t>New York, NY 10028</t>
  </si>
  <si>
    <t>9045 Poor House Lane</t>
  </si>
  <si>
    <t>Bronx, NY 10451</t>
  </si>
  <si>
    <t>71 Cambridge Lane</t>
  </si>
  <si>
    <t>New York, NY 10024</t>
  </si>
  <si>
    <t>8117 Birch Hill Rd.</t>
  </si>
  <si>
    <t>Bronx, NY 10465</t>
  </si>
  <si>
    <t>9140 Carpenter St.</t>
  </si>
  <si>
    <t>Brooklyn, NY 11207</t>
  </si>
  <si>
    <t>538 Cross Street</t>
  </si>
  <si>
    <t>Bronx, NY 10462</t>
  </si>
  <si>
    <t>919 Princeton St.</t>
  </si>
  <si>
    <t>Fairport, NY 14450</t>
  </si>
  <si>
    <t>17 Ashley Street</t>
  </si>
  <si>
    <t>New York, NY 10029</t>
  </si>
  <si>
    <t>682 Glenwood Street</t>
  </si>
  <si>
    <t>Bronx, NY 10466</t>
  </si>
  <si>
    <t>94 Beach St.</t>
  </si>
  <si>
    <t>Brooklyn, NY 11228</t>
  </si>
  <si>
    <t>26 East Main Dr.</t>
  </si>
  <si>
    <t>Buffalo, NY 14224</t>
  </si>
  <si>
    <t>373 Bear Hill St.</t>
  </si>
  <si>
    <t>Brooklyn, NY 11213</t>
  </si>
  <si>
    <t>497 Maiden Street</t>
  </si>
  <si>
    <t>741 Ann Ave.</t>
  </si>
  <si>
    <t>Brooklyn, NY 11225</t>
  </si>
  <si>
    <t>23 Kent St.</t>
  </si>
  <si>
    <t>Hamburg, NY 14075</t>
  </si>
  <si>
    <t>4 Fairground Avenue</t>
  </si>
  <si>
    <t>South Richmond Hill, NY 11419</t>
  </si>
  <si>
    <t>20 Deerfield Lane</t>
  </si>
  <si>
    <t>Bronx, NY 10469</t>
  </si>
  <si>
    <t>9618 Lower River St.</t>
  </si>
  <si>
    <t>New York, NY 10033</t>
  </si>
  <si>
    <t>50 New Rd.</t>
  </si>
  <si>
    <t>Westbury, NY 11590</t>
  </si>
  <si>
    <t>534 Clinton Street</t>
  </si>
  <si>
    <t>Brooklyn, NY 11211</t>
  </si>
  <si>
    <t>56 Marsh Drive</t>
  </si>
  <si>
    <t>Brooklyn, NY 11214</t>
  </si>
  <si>
    <t>901 Belmont Street</t>
  </si>
  <si>
    <t>Middletown, NY 10940</t>
  </si>
  <si>
    <t>34 West Pleasant St.</t>
  </si>
  <si>
    <t>New York, NY 10027</t>
  </si>
  <si>
    <t>61 Fulton Street</t>
  </si>
  <si>
    <t>Forest Hills, NY 11375</t>
  </si>
  <si>
    <t>38 Nut Swamp St.</t>
  </si>
  <si>
    <t>Jamaica, NY 11434</t>
  </si>
  <si>
    <t>505 Evergreen Dr.</t>
  </si>
  <si>
    <t>Brooklyn, NY 11237</t>
  </si>
  <si>
    <t>353 Sherman St.</t>
  </si>
  <si>
    <t>Flushing, NY 11354</t>
  </si>
  <si>
    <t>764 New St.</t>
  </si>
  <si>
    <t>Buffalo, NY 14221</t>
  </si>
  <si>
    <t>2 Delaware Lane</t>
  </si>
  <si>
    <t>Huntington, NY 11743</t>
  </si>
  <si>
    <t>940 S. Thomas Ave.</t>
  </si>
  <si>
    <t>Jamaica, NY 11435</t>
  </si>
  <si>
    <t>8459 Wagon Road</t>
  </si>
  <si>
    <t>Tonawanda, NY 14150</t>
  </si>
  <si>
    <t>815 Victoria Ave.</t>
  </si>
  <si>
    <t>New York, NY 10009</t>
  </si>
  <si>
    <t>7019 Maple St.</t>
  </si>
  <si>
    <t>Brooklyn, NY 11233</t>
  </si>
  <si>
    <t>7328 Marsh St.</t>
  </si>
  <si>
    <t>Brooklyn, NY 11221</t>
  </si>
  <si>
    <t>7379 Nut Swamp Dr.</t>
  </si>
  <si>
    <t>Poughkeepsie, NY 12603</t>
  </si>
  <si>
    <t>67 Bald Hill St.</t>
  </si>
  <si>
    <t>Far Rockaway, NY 11691</t>
  </si>
  <si>
    <t>4 Proctor Ave.</t>
  </si>
  <si>
    <t>Hempstead, NY 11550</t>
  </si>
  <si>
    <t>9 Lake St.</t>
  </si>
  <si>
    <t>Brooklyn, NY 11210</t>
  </si>
  <si>
    <t>501 Foster Ave.</t>
  </si>
  <si>
    <t>Jamaica, NY 11432</t>
  </si>
  <si>
    <t>7652 Lakeshore Court</t>
  </si>
  <si>
    <t>Brooklyn, NY 11219</t>
  </si>
  <si>
    <t>490 Beacon St.</t>
  </si>
  <si>
    <t>Brooklyn, NY 11238</t>
  </si>
  <si>
    <t>9050 West Catherine Dr.</t>
  </si>
  <si>
    <t>Bronx, NY 10460</t>
  </si>
  <si>
    <t>8438 Joy Ridge Drive</t>
  </si>
  <si>
    <t>Bronx, NY 10457</t>
  </si>
  <si>
    <t>9656 Beaver Ridge St.</t>
  </si>
  <si>
    <t>New York, NY 10032</t>
  </si>
  <si>
    <t>106 Market Ave.</t>
  </si>
  <si>
    <t>New York, NY 10040</t>
  </si>
  <si>
    <t>8615 W. Pine Lane</t>
  </si>
  <si>
    <t>Staten Island, NY 10314</t>
  </si>
  <si>
    <t>9323 E. Old York St.</t>
  </si>
  <si>
    <t>North Tonawanda, NY 14120</t>
  </si>
  <si>
    <t>8819 Oak Ave.</t>
  </si>
  <si>
    <t>New York, NY 10016</t>
  </si>
  <si>
    <t>9910 Essex St.</t>
  </si>
  <si>
    <t>Brooklyn, NY 11234</t>
  </si>
  <si>
    <t>142 Windfall St.</t>
  </si>
  <si>
    <t>Rochester, NY 14609</t>
  </si>
  <si>
    <t>9809 Gates Street</t>
  </si>
  <si>
    <t>Bronx, NY 10468</t>
  </si>
  <si>
    <t>510 West Homewood Ave.</t>
  </si>
  <si>
    <t>Brooklyn, NY 11203</t>
  </si>
  <si>
    <t>9 Nut Swamp Road</t>
  </si>
  <si>
    <t>Brentwood, NY 11717</t>
  </si>
  <si>
    <t>52 Glenridge Street</t>
  </si>
  <si>
    <t>New York, NY 10128</t>
  </si>
  <si>
    <t>8788 Birchpond Circle</t>
  </si>
  <si>
    <t>Brooklyn, NY 11230</t>
  </si>
  <si>
    <t>559 Young St.</t>
  </si>
  <si>
    <t>Auburn, NY 13021</t>
  </si>
  <si>
    <t>114 Carriage Lane</t>
  </si>
  <si>
    <t>Brooklyn, NY 11216</t>
  </si>
  <si>
    <t>328 E. Windfall Ave.</t>
  </si>
  <si>
    <t>Flushing, NY 11355</t>
  </si>
  <si>
    <t>9123 Shub Farm Road</t>
  </si>
  <si>
    <t>New York, NY 10002</t>
  </si>
  <si>
    <t>120 Whitemarsh St.</t>
  </si>
  <si>
    <t>Yonkers, NY 10701</t>
  </si>
  <si>
    <t>9690 Princess Ave.</t>
  </si>
  <si>
    <t>Elmont, NY 11003</t>
  </si>
  <si>
    <t>8948 St Louis Ave.</t>
  </si>
  <si>
    <t>Rome, NY 13440</t>
  </si>
  <si>
    <t>748 East Brown St.</t>
  </si>
  <si>
    <t>New York, NY 10034</t>
  </si>
  <si>
    <t>679 Oak Meadow Ave.</t>
  </si>
  <si>
    <t>South Ozone Park, NY 11420</t>
  </si>
  <si>
    <t>490 W. Vernon Street</t>
  </si>
  <si>
    <t>New York, NY 10003</t>
  </si>
  <si>
    <t>279 Magnolia Avenue</t>
  </si>
  <si>
    <t>Woodside, NY 11377</t>
  </si>
  <si>
    <t>9589 Thorne Ave.</t>
  </si>
  <si>
    <t>Brooklyn, NY 11235</t>
  </si>
  <si>
    <t>899 Shipley Ave.</t>
  </si>
  <si>
    <t>Brooklyn, NY 11201</t>
  </si>
  <si>
    <t>46 Victoria Court</t>
  </si>
  <si>
    <t>Bronx, NY 10453</t>
  </si>
  <si>
    <t>8664 Oak Valley Drive</t>
  </si>
  <si>
    <t>Webster, NY 14580</t>
  </si>
  <si>
    <t>922 West Leeton Ridge St.</t>
  </si>
  <si>
    <t>Buffalo, NY 14215</t>
  </si>
  <si>
    <t>7880 Leeton Ridge Avenue</t>
  </si>
  <si>
    <t>Astoria, NY 11103</t>
  </si>
  <si>
    <t>92 Marvon St.</t>
  </si>
  <si>
    <t>Troy, NY 12180</t>
  </si>
  <si>
    <t>905 Wrangler Lane</t>
  </si>
  <si>
    <t>9096 Clark Lane</t>
  </si>
  <si>
    <t>9783 Poplar Street</t>
  </si>
  <si>
    <t>744 Coffee Ave.</t>
  </si>
  <si>
    <t>10 Rockwell Road</t>
  </si>
  <si>
    <t>395 W. Coffee St.</t>
  </si>
  <si>
    <t>499 Second Dr.</t>
  </si>
  <si>
    <t>56 Nut Swamp Circle</t>
  </si>
  <si>
    <t>943 Holly Ave.</t>
  </si>
  <si>
    <t>9752 Blackburn Dr.</t>
  </si>
  <si>
    <t>8821 Rockville Lane</t>
  </si>
  <si>
    <t>6 Newport Court</t>
  </si>
  <si>
    <t>309 South Hill Field St.</t>
  </si>
  <si>
    <t>7363 St Louis Street</t>
  </si>
  <si>
    <t>8877 Selby Rd.</t>
  </si>
  <si>
    <t>35 Airport Street</t>
  </si>
  <si>
    <t>858 Primrose Lane</t>
  </si>
  <si>
    <t>824 Woodside Avenue</t>
  </si>
  <si>
    <t>917 NW. Leatherwood Court</t>
  </si>
  <si>
    <t>21 Creek Drive</t>
  </si>
  <si>
    <t>39 Goldfield Rd.</t>
  </si>
  <si>
    <t>972 Stillwater St.</t>
  </si>
  <si>
    <t>86 Logan Dr.</t>
  </si>
  <si>
    <t>88 Maple Circle</t>
  </si>
  <si>
    <t>31 Studebaker St.</t>
  </si>
  <si>
    <t>34 E. Lafayette Court</t>
  </si>
  <si>
    <t>2 Ridgeview Dr.</t>
  </si>
  <si>
    <t>75 Jefferson Lane</t>
  </si>
  <si>
    <t>5 Circle Dr.</t>
  </si>
  <si>
    <t>612 Silver Spear Dr.</t>
  </si>
  <si>
    <t>8627 Bayberry Street</t>
  </si>
  <si>
    <t>4 Bank Dr.</t>
  </si>
  <si>
    <t>8579 Greenview St.</t>
  </si>
  <si>
    <t>8483 Sugar Ave.</t>
  </si>
  <si>
    <t>8995 Rockledge Street</t>
  </si>
  <si>
    <t>9834 Pennington Ave.</t>
  </si>
  <si>
    <t>14 Charles Ave.</t>
  </si>
  <si>
    <t>178 Oakland Lane</t>
  </si>
  <si>
    <t>7690 Glenridge Street</t>
  </si>
  <si>
    <t>9105 E. Bayberry Avenue</t>
  </si>
  <si>
    <t>8489 Colonial St.</t>
  </si>
  <si>
    <t>7266 Shady Drive</t>
  </si>
  <si>
    <t>493 Summer Avenue</t>
  </si>
  <si>
    <t>254 Kingston Street</t>
  </si>
  <si>
    <t>37 Garfield Dr.</t>
  </si>
  <si>
    <t>92 Peg Shop Rd.</t>
  </si>
  <si>
    <t>457 Orange Street</t>
  </si>
  <si>
    <t>62 Swanson Dr.</t>
  </si>
  <si>
    <t>269 Hartford St.</t>
  </si>
  <si>
    <t>15 East Richardson Drive</t>
  </si>
  <si>
    <t>859 Foxrun Ave.</t>
  </si>
  <si>
    <t>6 Monroe Ave.</t>
  </si>
  <si>
    <t>7465 Rosewood Road</t>
  </si>
  <si>
    <t>85 Brewery Lane</t>
  </si>
  <si>
    <t>8987 Tunnel Court</t>
  </si>
  <si>
    <t>618 North Park Drive</t>
  </si>
  <si>
    <t>749 Honey Creek St.</t>
  </si>
  <si>
    <t>401 Arcadia St.</t>
  </si>
  <si>
    <t>61 Aspen Street</t>
  </si>
  <si>
    <t>8842 Albany Dr.</t>
  </si>
  <si>
    <t>7761 Glenridge St.</t>
  </si>
  <si>
    <t>7542 Logan Ave.</t>
  </si>
  <si>
    <t>906 North Marshall Drive</t>
  </si>
  <si>
    <t>566 Old Windsor Street</t>
  </si>
  <si>
    <t>363 Carson Lane</t>
  </si>
  <si>
    <t>8046 Clay Street</t>
  </si>
  <si>
    <t>36 South Lake Forest Lane</t>
  </si>
  <si>
    <t>437 Jockey Hollow Dr.</t>
  </si>
  <si>
    <t>135 Airport Ave.</t>
  </si>
  <si>
    <t>8857 Gonzales Street</t>
  </si>
  <si>
    <t>9538 South Wall St.</t>
  </si>
  <si>
    <t>8478 Vernon Lane</t>
  </si>
  <si>
    <t>7133 E. West St.</t>
  </si>
  <si>
    <t>26 Sycamore Street</t>
  </si>
  <si>
    <t>746 Marsh Ave.</t>
  </si>
  <si>
    <t>53 Cedarwood St.</t>
  </si>
  <si>
    <t>86 N. Poor House Ave.</t>
  </si>
  <si>
    <t>7017 Walt Whitman Street</t>
  </si>
  <si>
    <t>7952 Durham St.</t>
  </si>
  <si>
    <t>7788 S. Princeton Court</t>
  </si>
  <si>
    <t>7707 Beech Ave.</t>
  </si>
  <si>
    <t>9307 Riverside Dr.</t>
  </si>
  <si>
    <t>954 S. Nichols Rd.</t>
  </si>
  <si>
    <t>584 Pumpkin Hill Dr.</t>
  </si>
  <si>
    <t>9799 E. Pumpkin Hill Lane</t>
  </si>
  <si>
    <t>60 Thatcher Court</t>
  </si>
  <si>
    <t>8606 Edgewood Lane</t>
  </si>
  <si>
    <t>8408 Broad Ave.</t>
  </si>
  <si>
    <t>417 Nut Swamp Lane</t>
  </si>
  <si>
    <t>638 Jennings Street</t>
  </si>
  <si>
    <t>307 Fairview Avenue</t>
  </si>
  <si>
    <t>9182 Market St.</t>
  </si>
  <si>
    <t>55 Lake Forest Drive</t>
  </si>
  <si>
    <t>1 Plymouth St.</t>
  </si>
  <si>
    <t>8279 Main Street</t>
  </si>
  <si>
    <t>918 Fordham St.</t>
  </si>
  <si>
    <t>508 Cypress St.</t>
  </si>
  <si>
    <t>24 Railroad Court</t>
  </si>
  <si>
    <t>634 Rockaway St.</t>
  </si>
  <si>
    <t>957 South Arcadia Street</t>
  </si>
  <si>
    <t>750 Vernon Ave.</t>
  </si>
  <si>
    <t>35 Miller St.</t>
  </si>
  <si>
    <t>7545 Yukon Street</t>
  </si>
  <si>
    <t>75 Victoria St.</t>
  </si>
  <si>
    <t>7654 Creek St.</t>
  </si>
  <si>
    <t>829 Devonshire Street</t>
  </si>
  <si>
    <t>48 North Arch St.</t>
  </si>
  <si>
    <t>818 North Ridge St.</t>
  </si>
  <si>
    <t>7 Hill Field St.</t>
  </si>
  <si>
    <t>13 4th Rd.</t>
  </si>
  <si>
    <t>308 Elmwood Ave.</t>
  </si>
  <si>
    <t>37 Sunbeam Lane</t>
  </si>
  <si>
    <t>679 Philmont St.</t>
  </si>
  <si>
    <t>324 Augusta St.</t>
  </si>
  <si>
    <t>7606 Alderwood Rd.</t>
  </si>
  <si>
    <t>8672 S. Mechanic Dr.</t>
  </si>
  <si>
    <t>20 Marvon Rd.</t>
  </si>
  <si>
    <t>116 Division Lane</t>
  </si>
  <si>
    <t>uraeus@mac.com</t>
  </si>
  <si>
    <t>bhima@me.com</t>
  </si>
  <si>
    <t>psichel@sbcglobal.net</t>
  </si>
  <si>
    <t>tbeck@optonline.net</t>
  </si>
  <si>
    <t>eegsa@yahoo.ca</t>
  </si>
  <si>
    <t>barlow@verizon.net</t>
  </si>
  <si>
    <t>wkrebs@me.com</t>
  </si>
  <si>
    <t>dleconte@outlook.com</t>
  </si>
  <si>
    <t>flakeg@verizon.net</t>
  </si>
  <si>
    <t>slaff@icloud.com</t>
  </si>
  <si>
    <t>uncle@hotmail.com</t>
  </si>
  <si>
    <t>vsprintf@hotmail.com</t>
  </si>
  <si>
    <t>chinthaka@yahoo.ca</t>
  </si>
  <si>
    <t>ntegrity@optonline.net</t>
  </si>
  <si>
    <t>yangyan@yahoo.ca</t>
  </si>
  <si>
    <t>ilyaz@me.com</t>
  </si>
  <si>
    <t>njpayne@hotmail.com</t>
  </si>
  <si>
    <t>ralamosm@gmail.com</t>
  </si>
  <si>
    <t>bartak@sbcglobal.net</t>
  </si>
  <si>
    <t>improv@me.com</t>
  </si>
  <si>
    <t>arnold@live.com</t>
  </si>
  <si>
    <t>ismail@comcast.net</t>
  </si>
  <si>
    <t>wilsonpm@aol.com</t>
  </si>
  <si>
    <t>barjam@icloud.com</t>
  </si>
  <si>
    <t>michiel@msn.com</t>
  </si>
  <si>
    <t>gamma@hotmail.com</t>
  </si>
  <si>
    <t>dhrakar@live.com</t>
  </si>
  <si>
    <t>themer@icloud.com</t>
  </si>
  <si>
    <t>leocharre@me.com</t>
  </si>
  <si>
    <t>kewley@icloud.com</t>
  </si>
  <si>
    <t>murdocj@mac.com</t>
  </si>
  <si>
    <t>webinc@msn.com</t>
  </si>
  <si>
    <t>mrsam@yahoo.ca</t>
  </si>
  <si>
    <t>sassen@aol.com</t>
  </si>
  <si>
    <t>emmanuel@att.net</t>
  </si>
  <si>
    <t>naoya@mac.com</t>
  </si>
  <si>
    <t>slanglois@hotmail.com</t>
  </si>
  <si>
    <t>improv@comcast.net</t>
  </si>
  <si>
    <t>noneme@me.com</t>
  </si>
  <si>
    <t>majordick@yahoo.com</t>
  </si>
  <si>
    <t>rgiersig@verizon.net</t>
  </si>
  <si>
    <t>smartfart@aol.com</t>
  </si>
  <si>
    <t>jmgomez@verizon.net</t>
  </si>
  <si>
    <t>msherr@yahoo.com</t>
  </si>
  <si>
    <t>keutzer@sbcglobal.net</t>
  </si>
  <si>
    <t>policies@sbcglobal.net</t>
  </si>
  <si>
    <t>hwestiii@verizon.net</t>
  </si>
  <si>
    <t>hstiles@mac.com</t>
  </si>
  <si>
    <t>xnormal@gmail.com</t>
  </si>
  <si>
    <t>jgmyers@icloud.com</t>
  </si>
  <si>
    <t>oechslin@aol.com</t>
  </si>
  <si>
    <t>juerd@outlook.com</t>
  </si>
  <si>
    <t>skippy@icloud.com</t>
  </si>
  <si>
    <t>meinkej@hotmail.com</t>
  </si>
  <si>
    <t>staffelb@aol.com</t>
  </si>
  <si>
    <t>heckerman@optonline.net</t>
  </si>
  <si>
    <t>rjones@verizon.net</t>
  </si>
  <si>
    <t>parrt@verizon.net</t>
  </si>
  <si>
    <t>hampton@icloud.com</t>
  </si>
  <si>
    <t>claypool@comcast.net</t>
  </si>
  <si>
    <t>wsnyder@live.com</t>
  </si>
  <si>
    <t>magusnet@aol.com</t>
  </si>
  <si>
    <t>danneng@optonline.net</t>
  </si>
  <si>
    <t>smallpaul@aol.com</t>
  </si>
  <si>
    <t>staikos@optonline.net</t>
  </si>
  <si>
    <t>bryam@outlook.com</t>
  </si>
  <si>
    <t>ccohen@optonline.net</t>
  </si>
  <si>
    <t>geoffr@aol.com</t>
  </si>
  <si>
    <t>kludge@comcast.net</t>
  </si>
  <si>
    <t>frikazoyd@att.net</t>
  </si>
  <si>
    <t>singer@comcast.net</t>
  </si>
  <si>
    <t>rogerspl@aol.com</t>
  </si>
  <si>
    <t>danzigism@yahoo.ca</t>
  </si>
  <si>
    <t>empathy@att.net</t>
  </si>
  <si>
    <t>jrifkin@mac.com</t>
  </si>
  <si>
    <t>sagal@icloud.com</t>
  </si>
  <si>
    <t>durist@sbcglobal.net</t>
  </si>
  <si>
    <t>msloan@msn.com</t>
  </si>
  <si>
    <t>ilikered@mac.com</t>
  </si>
  <si>
    <t>tlinden@live.com</t>
  </si>
  <si>
    <t>citizenl@yahoo.ca</t>
  </si>
  <si>
    <t>pajas@yahoo.com</t>
  </si>
  <si>
    <t>british@me.com</t>
  </si>
  <si>
    <t>chaffar@aol.com</t>
  </si>
  <si>
    <t>parkes@hotmail.com</t>
  </si>
  <si>
    <t>sjava@yahoo.ca</t>
  </si>
  <si>
    <t>jipsen@outlook.com</t>
  </si>
  <si>
    <t>lahvak@optonline.net</t>
  </si>
  <si>
    <t>mlewan@yahoo.com</t>
  </si>
  <si>
    <t>zwood@verizon.net</t>
  </si>
  <si>
    <t>kassiesa@hotmail.com</t>
  </si>
  <si>
    <t>rnewman@hotmail.com</t>
  </si>
  <si>
    <t>jaxweb@gmail.com</t>
  </si>
  <si>
    <t>eidac@aol.com</t>
  </si>
  <si>
    <t>lishoy@gmail.com</t>
  </si>
  <si>
    <t>delpino@aol.com</t>
  </si>
  <si>
    <t>catalog@att.net</t>
  </si>
  <si>
    <t>hoyer@hotmail.com</t>
  </si>
  <si>
    <t>esokullu@live.com</t>
  </si>
  <si>
    <t>heidrich@hotmail.com</t>
  </si>
  <si>
    <t>kohlis@live.com</t>
  </si>
  <si>
    <t>corrada@att.net</t>
  </si>
  <si>
    <t>chaffar@sbcglobal.net</t>
  </si>
  <si>
    <t>josem@hotmail.com</t>
  </si>
  <si>
    <t>jsmith@mac.com</t>
  </si>
  <si>
    <t>hmbrand@hotmail.com</t>
  </si>
  <si>
    <t>corrada@gmail.com</t>
  </si>
  <si>
    <t>bryam@icloud.com</t>
  </si>
  <si>
    <t>gmcgath@hotmail.com</t>
  </si>
  <si>
    <t>fukuchi@yahoo.com</t>
  </si>
  <si>
    <t>jshearer@mac.com</t>
  </si>
  <si>
    <t>phish@live.com</t>
  </si>
  <si>
    <t>manuals@aol.com</t>
  </si>
  <si>
    <t>meder@outlook.com</t>
  </si>
  <si>
    <t>gomor@icloud.com</t>
  </si>
  <si>
    <t>hauma@gmail.com</t>
  </si>
  <si>
    <t>godeke@yahoo.ca</t>
  </si>
  <si>
    <t>jdhedden@mac.com</t>
  </si>
  <si>
    <t>tbeck@gmail.com</t>
  </si>
  <si>
    <t>bryanw@outlook.com</t>
  </si>
  <si>
    <t>draper@me.com</t>
  </si>
  <si>
    <t>anicolao@optonline.net</t>
  </si>
  <si>
    <t>mxiao@comcast.net</t>
  </si>
  <si>
    <t>mleary@yahoo.ca</t>
  </si>
  <si>
    <t>louise@comcast.net</t>
  </si>
  <si>
    <t>solomon@gmail.com</t>
  </si>
  <si>
    <t>dgatwood@live.com</t>
  </si>
  <si>
    <t>augusto@outlook.com</t>
  </si>
  <si>
    <t>rafasgj@msn.com</t>
  </si>
  <si>
    <t>solomon@yahoo.ca</t>
  </si>
  <si>
    <t>kildjean@aol.com</t>
  </si>
  <si>
    <t>andersbr@att.net</t>
  </si>
  <si>
    <t>moonlapse@sbcglobal.net</t>
  </si>
  <si>
    <t>schwaang@mac.com</t>
  </si>
  <si>
    <t>geekoid@yahoo.ca</t>
  </si>
  <si>
    <t>plover@aol.com</t>
  </si>
  <si>
    <t>jhardin@hotmail.com</t>
  </si>
  <si>
    <t>jdray@hotmail.com</t>
  </si>
  <si>
    <t>euice@outlook.com</t>
  </si>
  <si>
    <t>camenisch@yahoo.ca</t>
  </si>
  <si>
    <t>lamky@hotmail.com</t>
  </si>
  <si>
    <t>alastair@att.net</t>
  </si>
  <si>
    <t>british@comcast.net</t>
  </si>
  <si>
    <t>rddesign@icloud.com</t>
  </si>
  <si>
    <t>heckerman@me.com</t>
  </si>
  <si>
    <t>rasca@verizon.net</t>
  </si>
  <si>
    <t>willg@sbcglobal.net</t>
  </si>
  <si>
    <t>bryam@verizon.net</t>
  </si>
  <si>
    <t>padme@hotmail.com</t>
  </si>
  <si>
    <t>damian@hotmail.com</t>
  </si>
  <si>
    <t>tangsh@me.com</t>
  </si>
  <si>
    <t>yamla@outlook.com</t>
  </si>
  <si>
    <t>rbarreira@optonline.net</t>
  </si>
  <si>
    <t>jrifkin@verizon.net</t>
  </si>
  <si>
    <t>dmouse@sbcglobal.net</t>
  </si>
  <si>
    <t>tubajon@comcast.net</t>
  </si>
  <si>
    <t>tjensen@att.net</t>
  </si>
  <si>
    <t>tristan@live.com</t>
  </si>
  <si>
    <t>crandall@sbcglobal.net</t>
  </si>
  <si>
    <t>bester@outlook.com</t>
  </si>
  <si>
    <t>world@yahoo.ca</t>
  </si>
  <si>
    <t>staikos@sbcglobal.net</t>
  </si>
  <si>
    <t>paulv@sbcglobal.net</t>
  </si>
  <si>
    <t>jgmyers@sbcglobal.net</t>
  </si>
  <si>
    <t>josephw@hotmail.com</t>
  </si>
  <si>
    <t>sopwith@att.net</t>
  </si>
  <si>
    <t>sharon@att.net</t>
  </si>
  <si>
    <t>ntegrity@msn.com</t>
  </si>
  <si>
    <t>dgriffith@aol.com</t>
  </si>
  <si>
    <t>qrczak@verizon.net</t>
  </si>
  <si>
    <t>bruck@live.com</t>
  </si>
  <si>
    <t>mjewell@comcast.net</t>
  </si>
  <si>
    <t>daveed@optonline.net</t>
  </si>
  <si>
    <t>quantaman@hotmail.com</t>
  </si>
  <si>
    <t>szymansk@gmail.com</t>
  </si>
  <si>
    <t>jemarch@yahoo.ca</t>
  </si>
  <si>
    <t>rhialto@msn.com</t>
  </si>
  <si>
    <t>flakeg@comcast.net</t>
  </si>
  <si>
    <t>rnewman@optonline.net</t>
  </si>
  <si>
    <t>jshearer@yahoo.ca</t>
  </si>
  <si>
    <t>tubesteak@msn.com</t>
  </si>
  <si>
    <t>jsnover@gmail.com</t>
  </si>
  <si>
    <t>chrwin@live.com</t>
  </si>
  <si>
    <t>jadavis@msn.com</t>
  </si>
  <si>
    <t>stevelim@gmail.com</t>
  </si>
  <si>
    <t>zavadsky@verizon.net</t>
  </si>
  <si>
    <t>mobileip@comcast.net</t>
  </si>
  <si>
    <t>lauronen@icloud.com</t>
  </si>
  <si>
    <t>matty@att.net</t>
  </si>
  <si>
    <t>simone@mac.com</t>
  </si>
  <si>
    <t>claesjac@verizon.net</t>
  </si>
  <si>
    <t>goldberg@yahoo.com</t>
  </si>
  <si>
    <t>lahvak@aol.com</t>
  </si>
  <si>
    <t>jipsen@sbcglobal.net</t>
  </si>
  <si>
    <t>elmer@mac.com</t>
  </si>
  <si>
    <t>sisyphus@icloud.com</t>
  </si>
  <si>
    <t>stefano@verizon.net</t>
  </si>
  <si>
    <t>muzzy@aol.com</t>
  </si>
  <si>
    <t>bmidd@att.net</t>
  </si>
  <si>
    <t>dhrakar@outlook.com</t>
  </si>
  <si>
    <t>openldap@mac.com</t>
  </si>
  <si>
    <t>dmath@live.com</t>
  </si>
  <si>
    <t>dobey@msn.com</t>
  </si>
  <si>
    <t>rbarreira@icloud.com</t>
  </si>
  <si>
    <t>gilmoure@live.com</t>
  </si>
  <si>
    <t>grady@verizon.net</t>
  </si>
  <si>
    <t>sekiya@gmail.com</t>
  </si>
  <si>
    <t>dogdude@yahoo.com</t>
  </si>
  <si>
    <t>sfoskett@att.net</t>
  </si>
  <si>
    <t>singer@mac.com</t>
  </si>
  <si>
    <t>pereinar@mac.com</t>
  </si>
  <si>
    <t>jfreedma@comcast.net</t>
  </si>
  <si>
    <t>hampton@outlook.com</t>
  </si>
  <si>
    <t>attwood@yahoo.com</t>
  </si>
  <si>
    <t>howler@mac.com</t>
  </si>
  <si>
    <t>quantaman@icloud.com</t>
  </si>
  <si>
    <t>tellis@gmail.com</t>
  </si>
  <si>
    <t>jguyer@verizon.net</t>
  </si>
  <si>
    <t>adhere@icloud.com</t>
  </si>
  <si>
    <t>jaarnial@verizon.net</t>
  </si>
  <si>
    <t>plover@live.com</t>
  </si>
  <si>
    <t>wortmanj@verizon.net</t>
  </si>
  <si>
    <t>violinhi@aol.com</t>
  </si>
  <si>
    <t>uncle@sbcglobal.net</t>
  </si>
  <si>
    <t>krueger@icloud.com</t>
  </si>
  <si>
    <t>daveewart@optonline.net</t>
  </si>
  <si>
    <t>firstpr@aol.com</t>
  </si>
  <si>
    <t>trieuvan@sbcglobal.net</t>
  </si>
  <si>
    <t>tbusch@gmail.com</t>
  </si>
  <si>
    <t>yfreund@me.com</t>
  </si>
  <si>
    <t>jfmulder@mac.com</t>
  </si>
  <si>
    <t>parrt@mac.com</t>
  </si>
  <si>
    <t>wiseb@aol.com</t>
  </si>
  <si>
    <t>barnett@outlook.com</t>
  </si>
  <si>
    <t>barlow@yahoo.com</t>
  </si>
  <si>
    <t>telbij@hotmail.com</t>
  </si>
  <si>
    <t>dalamb@msn.com</t>
  </si>
  <si>
    <t>psichel@live.com</t>
  </si>
  <si>
    <t>cameron@mac.com</t>
  </si>
  <si>
    <t>klaudon@icloud.com</t>
  </si>
  <si>
    <t>gavinls@msn.com</t>
  </si>
  <si>
    <t>arathi@comcast.net</t>
  </si>
  <si>
    <t>parkes@icloud.com</t>
  </si>
  <si>
    <t>cyrus@aol.com</t>
  </si>
  <si>
    <t>isotopian@hotmail.com</t>
  </si>
  <si>
    <t>marnanel@icloud.com</t>
  </si>
  <si>
    <t>nwiger@verizon.net</t>
  </si>
  <si>
    <t>elmer@comcast.net</t>
  </si>
  <si>
    <t>natepuri@gmail.com</t>
  </si>
  <si>
    <t>tmaek@gmail.com</t>
  </si>
  <si>
    <t>manuals@yahoo.ca</t>
  </si>
  <si>
    <t>neonatus@live.com</t>
  </si>
  <si>
    <t>crusader@verizon.net</t>
  </si>
  <si>
    <t>dogdude@mac.com</t>
  </si>
  <si>
    <t>mastinfo@outlook.com</t>
  </si>
  <si>
    <t>munge@verizon.net</t>
  </si>
  <si>
    <t>milton@att.net</t>
  </si>
  <si>
    <t>redingtn@hotmail.com</t>
  </si>
  <si>
    <t>fviegas@sbcglobal.net</t>
  </si>
  <si>
    <t>rgarcia@live.com</t>
  </si>
  <si>
    <t>ovprit@msn.com</t>
  </si>
  <si>
    <t>teverett@att.net</t>
  </si>
  <si>
    <t>ghost@yahoo.ca</t>
  </si>
  <si>
    <t>intlprog@verizon.net</t>
  </si>
  <si>
    <t>frosal@msn.com</t>
  </si>
  <si>
    <t>sabren@comcast.net</t>
  </si>
  <si>
    <t>hermes@outlook.com</t>
  </si>
  <si>
    <t>shrapnull@live.com</t>
  </si>
  <si>
    <t>jimmichie@optonline.net</t>
  </si>
  <si>
    <t>bjornk@aol.com</t>
  </si>
  <si>
    <t>ghost@sbcglobal.net</t>
  </si>
  <si>
    <t>curly@icloud.com</t>
  </si>
  <si>
    <t>jacks@outlook.com</t>
  </si>
  <si>
    <t>mbswan@optonline.net</t>
  </si>
  <si>
    <t>jelmer@gmail.com</t>
  </si>
  <si>
    <t>podmaster@yahoo.com</t>
  </si>
  <si>
    <t>malin@verizon.net</t>
  </si>
  <si>
    <t>dsugal@hotmail.com</t>
  </si>
  <si>
    <t>ninenine@icloud.com</t>
  </si>
  <si>
    <t>damian@icloud.com</t>
  </si>
  <si>
    <t>phish@hotmail.com</t>
  </si>
  <si>
    <t>rnelson@gmail.com</t>
  </si>
  <si>
    <t>slaff@aol.com</t>
  </si>
  <si>
    <t>ninenine@live.com</t>
  </si>
  <si>
    <t>johnh@yahoo.ca</t>
  </si>
  <si>
    <t>ryanshaw@comcast.net</t>
  </si>
  <si>
    <t>gerlo@yahoo.ca</t>
  </si>
  <si>
    <t>squirrel@comcast.net</t>
  </si>
  <si>
    <t>sakusha@yahoo.com</t>
  </si>
  <si>
    <t>seano@sbcglobal.net</t>
  </si>
  <si>
    <t>bmidd@msn.com</t>
  </si>
  <si>
    <t>oracle@verizon.net</t>
  </si>
  <si>
    <t>jrifkin@yahoo.com</t>
  </si>
  <si>
    <t>sherzodr@att.net</t>
  </si>
  <si>
    <t>rsmartin@msn.com</t>
  </si>
  <si>
    <t>jsbach@aol.com</t>
  </si>
  <si>
    <t>wmszeliga@mac.com</t>
  </si>
  <si>
    <t>william@hotmail.com</t>
  </si>
  <si>
    <t>gastown@comcast.net</t>
  </si>
  <si>
    <t>improv@live.com</t>
  </si>
  <si>
    <t>gfxguy@outlook.com</t>
  </si>
  <si>
    <t>marcs@outlook.com</t>
  </si>
  <si>
    <t>skippy@yahoo.ca</t>
  </si>
  <si>
    <t>jyoliver@sbcglobal.net</t>
  </si>
  <si>
    <t>afifi@hotmail.com</t>
  </si>
  <si>
    <t>muadip@gmail.com</t>
  </si>
  <si>
    <t>hyper@icloud.com</t>
  </si>
  <si>
    <t>spadkins@att.net</t>
  </si>
  <si>
    <t>oneiros@icloud.com</t>
  </si>
  <si>
    <t>miltchev@gmail.com</t>
  </si>
  <si>
    <t>uqmcolyv@att.net</t>
  </si>
  <si>
    <t>william@comcast.net</t>
  </si>
  <si>
    <t>lipeng@comcast.net</t>
  </si>
  <si>
    <t>sbmrjbr@msn.com</t>
  </si>
  <si>
    <t>ryanvm@sbcglobal.net</t>
  </si>
  <si>
    <t>mbswan@msn.com</t>
  </si>
  <si>
    <t>dbanarse@yahoo.ca</t>
  </si>
  <si>
    <t>frikazoyd@me.com</t>
  </si>
  <si>
    <t>mosses@gmail.com</t>
  </si>
  <si>
    <t>parasite@optonline.net</t>
  </si>
  <si>
    <t>samavati@me.com</t>
  </si>
  <si>
    <t>rfoley@mac.com</t>
  </si>
  <si>
    <t>yfreund@verizon.net</t>
  </si>
  <si>
    <t>fglock@gmail.com</t>
  </si>
  <si>
    <t>bebing@hotmail.com</t>
  </si>
  <si>
    <t>cumarana@live.com</t>
  </si>
  <si>
    <t>smpeters@mac.com</t>
  </si>
  <si>
    <t>madler@gmail.com</t>
  </si>
  <si>
    <t>mgemmons@yahoo.ca</t>
  </si>
  <si>
    <t>lstein@msn.com</t>
  </si>
  <si>
    <t>skythe@optonline.net</t>
  </si>
  <si>
    <t>alias@comcast.net</t>
  </si>
  <si>
    <t>dburrows@comcast.net</t>
  </si>
  <si>
    <t>eegsa@sbcglobal.net</t>
  </si>
  <si>
    <t>gfxguy@hotmail.com</t>
  </si>
  <si>
    <t>gumpish@optonline.net</t>
  </si>
  <si>
    <t>rhialto@yahoo.com</t>
  </si>
  <si>
    <t>phyruxus@mac.com</t>
  </si>
  <si>
    <t>jshearer@yahoo.com</t>
  </si>
  <si>
    <t>fwiles@live.com</t>
  </si>
  <si>
    <t>kayvonf@sbcglobal.net</t>
  </si>
  <si>
    <t>pappp@icloud.com</t>
  </si>
  <si>
    <t>timlinux@icloud.com</t>
  </si>
  <si>
    <t>feamster@mac.com</t>
  </si>
  <si>
    <t>dexter@yahoo.ca</t>
  </si>
  <si>
    <t>symbolic@optonline.net</t>
  </si>
  <si>
    <t>intlprog@live.com</t>
  </si>
  <si>
    <t>msloan@live.com</t>
  </si>
  <si>
    <t>wbarker@aol.com</t>
  </si>
  <si>
    <t>niknejad@msn.com</t>
  </si>
  <si>
    <t>koudas@icloud.com</t>
  </si>
  <si>
    <t>cantu@outlook.com</t>
  </si>
  <si>
    <t>nighthawk@hotmail.com</t>
  </si>
  <si>
    <t>peterhoeg@yahoo.com</t>
  </si>
  <si>
    <t>jonadab@outlook.com</t>
  </si>
  <si>
    <t>gamma@sbcglobal.net</t>
  </si>
  <si>
    <t>wbarker@sbcglobal.net</t>
  </si>
  <si>
    <t>conteb@mac.com</t>
  </si>
  <si>
    <t>mugwump@verizon.net</t>
  </si>
  <si>
    <t>andrei@outlook.com</t>
  </si>
  <si>
    <t>roamer@sbcglobal.net</t>
  </si>
  <si>
    <t>malattia@msn.com</t>
  </si>
  <si>
    <t>aschmitz@sbcglobal.net</t>
  </si>
  <si>
    <t>ovprit@aol.com</t>
  </si>
  <si>
    <t>jaarnial@att.net</t>
  </si>
  <si>
    <t>murty@icloud.com</t>
  </si>
  <si>
    <t>loscar@sbcglobal.net</t>
  </si>
  <si>
    <t>telbij@verizon.net</t>
  </si>
  <si>
    <t>fmtbebuck@live.com</t>
  </si>
  <si>
    <t>evilopie@att.net</t>
  </si>
  <si>
    <t>aibrahim@icloud.com</t>
  </si>
  <si>
    <t>uqmcolyv@aol.com</t>
  </si>
  <si>
    <t>hermes@aol.com</t>
  </si>
  <si>
    <t>krueger@msn.com</t>
  </si>
  <si>
    <t>danneng@att.net</t>
  </si>
  <si>
    <t>pgolle@yahoo.com</t>
  </si>
  <si>
    <t>scitext@comcast.net</t>
  </si>
  <si>
    <t>goresky@gmail.com</t>
  </si>
  <si>
    <t>shawnce@optonline.net</t>
  </si>
  <si>
    <t>ubergeeb@live.com</t>
  </si>
  <si>
    <t>redingtn@yahoo.ca</t>
  </si>
  <si>
    <t>nimaclea@live.com</t>
  </si>
  <si>
    <t>iapetus@aol.com</t>
  </si>
  <si>
    <t>skythe@outlook.com</t>
  </si>
  <si>
    <t>anicolao@aol.com</t>
  </si>
  <si>
    <t>hahsler@yahoo.ca</t>
  </si>
  <si>
    <t>tokuhirom@comcast.net</t>
  </si>
  <si>
    <t>mhoffman@live.com</t>
  </si>
  <si>
    <t>mahbub@verizon.net</t>
  </si>
  <si>
    <t>janneh@gmail.com</t>
  </si>
  <si>
    <t>jonathan@yahoo.com</t>
  </si>
  <si>
    <t>zeitlin@aol.com</t>
  </si>
  <si>
    <t>telbij@yahoo.com</t>
  </si>
  <si>
    <t>cparis@me.com</t>
  </si>
  <si>
    <t>dburrows@gmail.com</t>
  </si>
  <si>
    <t>budinger@gmail.com</t>
  </si>
  <si>
    <t>mnemonic@comcast.net</t>
  </si>
  <si>
    <t>techie@yahoo.ca</t>
  </si>
  <si>
    <t>timlinux@att.net</t>
  </si>
  <si>
    <t>dgriffith@gmail.com</t>
  </si>
  <si>
    <t>credmond@me.com</t>
  </si>
  <si>
    <t>vsprintf@live.com</t>
  </si>
  <si>
    <t>tubajon@yahoo.ca</t>
  </si>
  <si>
    <t>overbom@aol.com</t>
  </si>
  <si>
    <t>iamcal@me.com</t>
  </si>
  <si>
    <t>gboss@icloud.com</t>
  </si>
  <si>
    <t>adamk@icloud.com</t>
  </si>
  <si>
    <t>formis@yahoo.com</t>
  </si>
  <si>
    <t>ngedmond@msn.com</t>
  </si>
  <si>
    <t>amaranth@icloud.com</t>
  </si>
  <si>
    <t>chaki@verizon.net</t>
  </si>
  <si>
    <t>barlow@mac.com</t>
  </si>
  <si>
    <t>barjam@mac.com</t>
  </si>
  <si>
    <t>parents@outlook.com</t>
  </si>
  <si>
    <t>dodong@comcast.net</t>
  </si>
  <si>
    <t>chrisj@gmail.com</t>
  </si>
  <si>
    <t>eminence@optonline.net</t>
  </si>
  <si>
    <t>jonathan@att.net</t>
  </si>
  <si>
    <t>teverett@yahoo.ca</t>
  </si>
  <si>
    <t>library@me.com</t>
  </si>
  <si>
    <t>chronos@msn.com</t>
  </si>
  <si>
    <t>dvdotnet@aol.com</t>
  </si>
  <si>
    <t>jguyer@yahoo.com</t>
  </si>
  <si>
    <t>symbolic@live.com</t>
  </si>
  <si>
    <t>cyrus@outlook.com</t>
  </si>
  <si>
    <t>russotto@att.net</t>
  </si>
  <si>
    <t>fmtbebuck@outlook.com</t>
  </si>
  <si>
    <t>ovprit@live.com</t>
  </si>
  <si>
    <t>jimxugle@gmail.com</t>
  </si>
  <si>
    <t>pthomsen@icloud.com</t>
  </si>
  <si>
    <t>csilvers@sbcglobal.net</t>
  </si>
  <si>
    <t>fangorn@optonline.net</t>
  </si>
  <si>
    <t>cliffordj@msn.com</t>
  </si>
  <si>
    <t>fukuchi@verizon.net</t>
  </si>
  <si>
    <t>kourai@optonline.net</t>
  </si>
  <si>
    <t>psichel@me.com</t>
  </si>
  <si>
    <t>chronos@comcast.net</t>
  </si>
  <si>
    <t>ccohen@hotmail.com</t>
  </si>
  <si>
    <t>quantaman@att.net</t>
  </si>
  <si>
    <t>sthomas@optonline.net</t>
  </si>
  <si>
    <t>cgcra@yahoo.ca</t>
  </si>
  <si>
    <t>szymansk@sbcglobal.net</t>
  </si>
  <si>
    <t>goresky@aol.com</t>
  </si>
  <si>
    <t>staffelb@comcast.net</t>
  </si>
  <si>
    <t>jeffcovey@me.com</t>
  </si>
  <si>
    <t>world@yahoo.com</t>
  </si>
  <si>
    <t>wetter@mac.com</t>
  </si>
  <si>
    <t>dwheeler@me.com</t>
  </si>
  <si>
    <t>mastinfo@live.com</t>
  </si>
  <si>
    <t>sblack@verizon.net</t>
  </si>
  <si>
    <t>ganter@verizon.net</t>
  </si>
  <si>
    <t>dpitts@hotmail.com</t>
  </si>
  <si>
    <t>sinkou@me.com</t>
  </si>
  <si>
    <t>chronos@me.com</t>
  </si>
  <si>
    <t>csilvers@gmail.com</t>
  </si>
  <si>
    <t>aardo@verizon.net</t>
  </si>
  <si>
    <t>cantu@gmail.com</t>
  </si>
  <si>
    <t>jeffcovey@verizon.net</t>
  </si>
  <si>
    <t>lydia@gmail.com</t>
  </si>
  <si>
    <t>ubergeeb@msn.com</t>
  </si>
  <si>
    <t>jshirley@outlook.com</t>
  </si>
  <si>
    <t>niknejad@me.com</t>
  </si>
  <si>
    <t>punkis@sbcglobal.net</t>
  </si>
  <si>
    <t>skaufman@comcast.net</t>
  </si>
  <si>
    <t>kmiller@yahoo.com</t>
  </si>
  <si>
    <t>hoangle@verizon.net</t>
  </si>
  <si>
    <t>miturria@aol.com</t>
  </si>
  <si>
    <t>bartlett@verizon.net</t>
  </si>
  <si>
    <t>afifi@icloud.com</t>
  </si>
  <si>
    <t>keiji@aol.com</t>
  </si>
  <si>
    <t>kramulous@icloud.com</t>
  </si>
  <si>
    <t>cantu@mac.com</t>
  </si>
  <si>
    <t>wojciech@live.com</t>
  </si>
  <si>
    <t>dogdude@gmail.com</t>
  </si>
  <si>
    <t>tmaek@verizon.net</t>
  </si>
  <si>
    <t>heine@gmail.com</t>
  </si>
  <si>
    <t>ramollin@aol.com</t>
  </si>
  <si>
    <t>esbeck@msn.com</t>
  </si>
  <si>
    <t>tarreau@optonline.net</t>
  </si>
  <si>
    <t>crypt@gmail.com</t>
  </si>
  <si>
    <t>flavell@aol.com</t>
  </si>
  <si>
    <t>dpitts@yahoo.ca</t>
  </si>
  <si>
    <t>rsteiner@sbcglobal.net</t>
  </si>
  <si>
    <t>clkao@mac.com</t>
  </si>
  <si>
    <t>slaff@yahoo.ca</t>
  </si>
  <si>
    <t>emmanuel@hotmail.com</t>
  </si>
  <si>
    <t>evans@icloud.com</t>
  </si>
  <si>
    <t>tezbo@verizon.net</t>
  </si>
  <si>
    <t>naoya@yahoo.ca</t>
  </si>
  <si>
    <t>benanov@me.com</t>
  </si>
  <si>
    <t>mwandel@gmail.com</t>
  </si>
  <si>
    <t>breegster@comcast.net</t>
  </si>
  <si>
    <t>scato@msn.com</t>
  </si>
  <si>
    <t>mwilson@comcast.net</t>
  </si>
  <si>
    <t>cgarcia@live.com</t>
  </si>
  <si>
    <t>nimaclea@optonline.net</t>
  </si>
  <si>
    <t>gtewari@gmail.com</t>
  </si>
  <si>
    <t>wmszeliga@att.net</t>
  </si>
  <si>
    <t>kramulous@aol.com</t>
  </si>
  <si>
    <t>ninenine@comcast.net</t>
  </si>
  <si>
    <t>jgmyers@gmail.com</t>
  </si>
  <si>
    <t>crobles@msn.com</t>
  </si>
  <si>
    <t>jgoerzen@msn.com</t>
  </si>
  <si>
    <t>frikazoyd@verizon.net</t>
  </si>
  <si>
    <t>wonderkid@yahoo.com</t>
  </si>
  <si>
    <t>wonderkid@yahoo.ca</t>
  </si>
  <si>
    <t>ajlitt@gmail.com</t>
  </si>
  <si>
    <t>seurat@icloud.com</t>
  </si>
  <si>
    <t>bryanw@yahoo.com</t>
  </si>
  <si>
    <t>kingma@outlook.com</t>
  </si>
  <si>
    <t>adillon@yahoo.com</t>
  </si>
  <si>
    <t>sonnen@yahoo.ca</t>
  </si>
  <si>
    <t>gilmoure@aol.com</t>
  </si>
  <si>
    <t>thomasj@hotmail.com</t>
  </si>
  <si>
    <t>kewley@att.net</t>
  </si>
  <si>
    <t>noneme@sbcglobal.net</t>
  </si>
  <si>
    <t>yamla@gmail.com</t>
  </si>
  <si>
    <t>tkrotchko@icloud.com</t>
  </si>
  <si>
    <t>ribet@yahoo.ca</t>
  </si>
  <si>
    <t>bahwi@sbcglobal.net</t>
  </si>
  <si>
    <t>pkilab@mac.com</t>
  </si>
  <si>
    <t>msroth@verizon.net</t>
  </si>
  <si>
    <t>killmenow@aol.com</t>
  </si>
  <si>
    <t>ribet@icloud.com</t>
  </si>
  <si>
    <t>wildfire@yahoo.ca</t>
  </si>
  <si>
    <t>kingjoshi@icloud.com</t>
  </si>
  <si>
    <t>stinson@hotmail.com</t>
  </si>
  <si>
    <t>tmaek@mac.com</t>
  </si>
  <si>
    <t>boein@icloud.com</t>
  </si>
  <si>
    <t>pdbaby@icloud.com</t>
  </si>
  <si>
    <t>gordonjcp@gmail.com</t>
  </si>
  <si>
    <t>choset@yahoo.com</t>
  </si>
  <si>
    <t>jyoliver@verizon.net</t>
  </si>
  <si>
    <t>mglee@msn.com</t>
  </si>
  <si>
    <t>jgmyers@yahoo.com</t>
  </si>
  <si>
    <t>jadavis@comcast.net</t>
  </si>
  <si>
    <t>presoff@mac.com</t>
  </si>
  <si>
    <t>jadavis@outlook.com</t>
  </si>
  <si>
    <t>willg@yahoo.com</t>
  </si>
  <si>
    <t>gbacon@gmail.com</t>
  </si>
  <si>
    <t>quantaman@me.com</t>
  </si>
  <si>
    <t>cantu@att.net</t>
  </si>
  <si>
    <t>oechslin@mac.com</t>
  </si>
  <si>
    <t>tkrotchko@comcast.net</t>
  </si>
  <si>
    <t>keiji@mac.com</t>
  </si>
  <si>
    <t>ubergeeb@sbcglobal.net</t>
  </si>
  <si>
    <t>hutton@live.com</t>
  </si>
  <si>
    <t>nacho@icloud.com</t>
  </si>
  <si>
    <t>kingjoshi@hotmail.com</t>
  </si>
  <si>
    <t>pontipak@live.com</t>
  </si>
  <si>
    <t>bogjobber@msn.com</t>
  </si>
  <si>
    <t>alhajj@mac.com</t>
  </si>
  <si>
    <t>blixem@mac.com</t>
  </si>
  <si>
    <t>zilla@sbcglobal.net</t>
  </si>
  <si>
    <t>shaffei@msn.com</t>
  </si>
  <si>
    <t>breegster@live.com</t>
  </si>
  <si>
    <t>pplinux@yahoo.com</t>
  </si>
  <si>
    <t>nasarius@optonline.net</t>
  </si>
  <si>
    <t>kuparine@live.com</t>
  </si>
  <si>
    <t>rohitm@comcast.net</t>
  </si>
  <si>
    <t>msloan@sbcglobal.net</t>
  </si>
  <si>
    <t>jschauma@sbcglobal.net</t>
  </si>
  <si>
    <t>ramollin@icloud.com</t>
  </si>
  <si>
    <t>seanq@gmail.com</t>
  </si>
  <si>
    <t>jeteve@outlook.com</t>
  </si>
  <si>
    <t>sinclair@gmail.com</t>
  </si>
  <si>
    <t>gboss@verizon.net</t>
  </si>
  <si>
    <t>helger@yahoo.ca</t>
  </si>
  <si>
    <t>chrwin@me.com</t>
  </si>
  <si>
    <t>frosal@me.com</t>
  </si>
  <si>
    <t>jfinke@optonline.net</t>
  </si>
  <si>
    <t>tbmaddux@comcast.net</t>
  </si>
  <si>
    <t>gumpish@aol.com</t>
  </si>
  <si>
    <t>pplinux@icloud.com</t>
  </si>
  <si>
    <t>cvrcek@att.net</t>
  </si>
  <si>
    <t>neuffer@verizon.net</t>
  </si>
  <si>
    <t>jsbach@msn.com</t>
  </si>
  <si>
    <t>biglou@yahoo.com</t>
  </si>
  <si>
    <t>andale@icloud.com</t>
  </si>
  <si>
    <t>irving@me.com</t>
  </si>
  <si>
    <t>cisugrad@icloud.com</t>
  </si>
  <si>
    <t>gator@gmail.com</t>
  </si>
  <si>
    <t>bflong@sbcglobal.net</t>
  </si>
  <si>
    <t>jginspace@outlook.com</t>
  </si>
  <si>
    <t>mugwump@gmail.com</t>
  </si>
  <si>
    <t>noticias@hotmail.com</t>
  </si>
  <si>
    <t>bartlett@aol.com</t>
  </si>
  <si>
    <t>mlewan@mac.com</t>
  </si>
  <si>
    <t>fukuchi@sbcglobal.net</t>
  </si>
  <si>
    <t>mhoffman@me.com</t>
  </si>
  <si>
    <t>mxiao@icloud.com</t>
  </si>
  <si>
    <t>linuxhack@verizon.net</t>
  </si>
  <si>
    <t>speeves@me.com</t>
  </si>
  <si>
    <t>petersko@sbcglobal.net</t>
  </si>
  <si>
    <t>baveja@optonline.net</t>
  </si>
  <si>
    <t>koudas@optonline.net</t>
  </si>
  <si>
    <t>sravani@hotmail.com</t>
  </si>
  <si>
    <t>crowemojo@optonline.net</t>
  </si>
  <si>
    <t>themer@hotmail.com</t>
  </si>
  <si>
    <t>jdhedden@live.com</t>
  </si>
  <si>
    <t>chance@live.com</t>
  </si>
  <si>
    <t>mcnihil@verizon.net</t>
  </si>
  <si>
    <t>jnolan@verizon.net</t>
  </si>
  <si>
    <t>henkp@icloud.com</t>
  </si>
  <si>
    <t>caidaperl@verizon.net</t>
  </si>
  <si>
    <t>thowell@me.com</t>
  </si>
  <si>
    <t>techie@yahoo.com</t>
  </si>
  <si>
    <t>mfburgo@sbcglobal.net</t>
  </si>
  <si>
    <t>scotfl@gmail.com</t>
  </si>
  <si>
    <t>mhouston@mac.com</t>
  </si>
  <si>
    <t>mmccool@mac.com</t>
  </si>
  <si>
    <t>gamma@live.com</t>
  </si>
  <si>
    <t>gastown@me.com</t>
  </si>
  <si>
    <t>earmstro@optonline.net</t>
  </si>
  <si>
    <t>luebke@gmail.com</t>
  </si>
  <si>
    <t>jschauma@gmail.com</t>
  </si>
  <si>
    <t>kiddailey@hotmail.com</t>
  </si>
  <si>
    <t>hakim@comcast.net</t>
  </si>
  <si>
    <t>aukjan@sbcglobal.net</t>
  </si>
  <si>
    <t>policies@hotmail.com</t>
  </si>
  <si>
    <t>lbaxter@outlook.com</t>
  </si>
  <si>
    <t>grolschie@mac.com</t>
  </si>
  <si>
    <t>mjewell@hotmail.com</t>
  </si>
  <si>
    <t>rande@hotmail.com</t>
  </si>
  <si>
    <t>gravyface@optonline.net</t>
  </si>
  <si>
    <t>symbolic@aol.com</t>
  </si>
  <si>
    <t>payned@sbcglobal.net</t>
  </si>
  <si>
    <t>zeitlin@msn.com</t>
  </si>
  <si>
    <t>shang@outlook.com</t>
  </si>
  <si>
    <t>atmarks@mac.com</t>
  </si>
  <si>
    <t>jugalator@optonline.net</t>
  </si>
  <si>
    <t>amimojo@yahoo.com</t>
  </si>
  <si>
    <t>library@outlook.com</t>
  </si>
  <si>
    <t>mwandel@verizon.net</t>
  </si>
  <si>
    <t>mfburgo@hotmail.com</t>
  </si>
  <si>
    <t>hyper@yahoo.ca</t>
  </si>
  <si>
    <t>rjones@sbcglobal.net</t>
  </si>
  <si>
    <t>naoya@aol.com</t>
  </si>
  <si>
    <t>hermanab@mac.com</t>
  </si>
  <si>
    <t>pakaste@icloud.com</t>
  </si>
  <si>
    <t>wainwrig@optonline.net</t>
  </si>
  <si>
    <t>jeteve@optonline.net</t>
  </si>
  <si>
    <t>singer@yahoo.ca</t>
  </si>
  <si>
    <t>telbij@msn.com</t>
  </si>
  <si>
    <t>bancboy@verizon.net</t>
  </si>
  <si>
    <t>thassine@sbcglobal.net</t>
  </si>
  <si>
    <t>skajan@gmail.com</t>
  </si>
  <si>
    <t>mjewell@verizon.net</t>
  </si>
  <si>
    <t>crandall@comcast.net</t>
  </si>
  <si>
    <t>tokuhirom@msn.com</t>
  </si>
  <si>
    <t>martyloo@verizon.net</t>
  </si>
  <si>
    <t>floxy@gmail.com</t>
  </si>
  <si>
    <t>paulv@verizon.net</t>
  </si>
  <si>
    <t>linuxhack@msn.com</t>
  </si>
  <si>
    <t>tlinden@mac.com</t>
  </si>
  <si>
    <t>juerd@gmail.com</t>
  </si>
  <si>
    <t>stellaau@comcast.net</t>
  </si>
  <si>
    <t>miturria@yahoo.ca</t>
  </si>
  <si>
    <t>inico@yahoo.com</t>
  </si>
  <si>
    <t>joelw@verizon.net</t>
  </si>
  <si>
    <t>jshirley@me.com</t>
  </si>
  <si>
    <t>ranasta@mac.com</t>
  </si>
  <si>
    <t>frikazoyd@live.com</t>
  </si>
  <si>
    <t>osrin@aol.com</t>
  </si>
  <si>
    <t>pthomsen@verizon.net</t>
  </si>
  <si>
    <t>eurohack@optonline.net</t>
  </si>
  <si>
    <t>csilvers@outlook.com</t>
  </si>
  <si>
    <t>rasca@icloud.com</t>
  </si>
  <si>
    <t>donev@yahoo.com</t>
  </si>
  <si>
    <t>psichel@yahoo.ca</t>
  </si>
  <si>
    <t>ranasta@att.net</t>
  </si>
  <si>
    <t>lbaxter@verizon.net</t>
  </si>
  <si>
    <t>rnewman@yahoo.com</t>
  </si>
  <si>
    <t>intlprog@optonline.net</t>
  </si>
  <si>
    <t>jgoerzen@sbcglobal.net</t>
  </si>
  <si>
    <t>shrapnull@mac.com</t>
  </si>
  <si>
    <t>teverett@yahoo.com</t>
  </si>
  <si>
    <t>jdhedden@verizon.net</t>
  </si>
  <si>
    <t>miami@hotmail.com</t>
  </si>
  <si>
    <t>reeds@sbcglobal.net</t>
  </si>
  <si>
    <t>jmmuller@hotmail.com</t>
  </si>
  <si>
    <t>mailarc@verizon.net</t>
  </si>
  <si>
    <t>sfoskett@sbcglobal.net</t>
  </si>
  <si>
    <t>eurohack@yahoo.ca</t>
  </si>
  <si>
    <t>ahmad@yahoo.com</t>
  </si>
  <si>
    <t>lstein@hotmail.com</t>
  </si>
  <si>
    <t>bmidd@aol.com</t>
  </si>
  <si>
    <t>stecoop@msn.com</t>
  </si>
  <si>
    <t>ateniese@icloud.com</t>
  </si>
  <si>
    <t>carcus@mac.com</t>
  </si>
  <si>
    <t>klaudon@gmail.com</t>
  </si>
  <si>
    <t>rfisher@hotmail.com</t>
  </si>
  <si>
    <t>mxiao@yahoo.com</t>
  </si>
  <si>
    <t>reziac@att.net</t>
  </si>
  <si>
    <t>mailarc@att.net</t>
  </si>
  <si>
    <t>brainless@msn.com</t>
  </si>
  <si>
    <t>akoblin@comcast.net</t>
  </si>
  <si>
    <t>geoffr@optonline.net</t>
  </si>
  <si>
    <t>shawnce@gmail.com</t>
  </si>
  <si>
    <t>trygstad@mac.com</t>
  </si>
  <si>
    <t>plover@me.com</t>
  </si>
  <si>
    <t>choset@optonline.net</t>
  </si>
  <si>
    <t>caidaperl@aol.com</t>
  </si>
  <si>
    <t>murdocj@gmail.com</t>
  </si>
  <si>
    <t>grossman@verizon.net</t>
  </si>
  <si>
    <t>bartlett@mac.com</t>
  </si>
  <si>
    <t>claesjac@aol.com</t>
  </si>
  <si>
    <t>jadavis@icloud.com</t>
  </si>
  <si>
    <t>vmalik@msn.com</t>
  </si>
  <si>
    <t>slaff@me.com</t>
  </si>
  <si>
    <t>kjohnson@gmail.com</t>
  </si>
  <si>
    <t>weazelman@icloud.com</t>
  </si>
  <si>
    <t>ivoibs@icloud.com</t>
  </si>
  <si>
    <t>atmarks@aol.com</t>
  </si>
  <si>
    <t>hermanab@live.com</t>
  </si>
  <si>
    <t>matty@yahoo.ca</t>
  </si>
  <si>
    <t>enintend@verizon.net</t>
  </si>
  <si>
    <t>dsugal@me.com</t>
  </si>
  <si>
    <t>openldap@outlook.com</t>
  </si>
  <si>
    <t>lishoy@comcast.net</t>
  </si>
  <si>
    <t>temmink@optonline.net</t>
  </si>
  <si>
    <t>wildixon@optonline.net</t>
  </si>
  <si>
    <t>peoplesr@outlook.com</t>
  </si>
  <si>
    <t>psichel@aol.com</t>
  </si>
  <si>
    <t>mlewan@live.com</t>
  </si>
  <si>
    <t>okroeger@yahoo.com</t>
  </si>
  <si>
    <t>jgmyers@att.net</t>
  </si>
  <si>
    <t>torgox@verizon.net</t>
  </si>
  <si>
    <t>eurohack@verizon.net</t>
  </si>
  <si>
    <t>grinder@mac.com</t>
  </si>
  <si>
    <t>mallanmba@comcast.net</t>
  </si>
  <si>
    <t>martyloo@sbcglobal.net</t>
  </si>
  <si>
    <t>smcnabb@yahoo.com</t>
  </si>
  <si>
    <t>msherr@yahoo.ca</t>
  </si>
  <si>
    <t>grothoff@icloud.com</t>
  </si>
  <si>
    <t>budinger@icloud.com</t>
  </si>
  <si>
    <t>dpitts@sbcglobal.net</t>
  </si>
  <si>
    <t>osaru@me.com</t>
  </si>
  <si>
    <t>jramio@gmail.com</t>
  </si>
  <si>
    <t>kudra@comcast.net</t>
  </si>
  <si>
    <t>yruan@icloud.com</t>
  </si>
  <si>
    <t>petersen@msn.com</t>
  </si>
  <si>
    <t>jbearp@sbcglobal.net</t>
  </si>
  <si>
    <t>kjohnson@mac.com</t>
  </si>
  <si>
    <t>jaesenj@comcast.net</t>
  </si>
  <si>
    <t>offthelip@yahoo.ca</t>
  </si>
  <si>
    <t>pgolle@aol.com</t>
  </si>
  <si>
    <t>mdielmann@verizon.net</t>
  </si>
  <si>
    <t>gerlo@optonline.net</t>
  </si>
  <si>
    <t>sarahs@verizon.net</t>
  </si>
  <si>
    <t>galbra@comcast.net</t>
  </si>
  <si>
    <t>kaiser@comcast.net</t>
  </si>
  <si>
    <t>kildjean@hotmail.com</t>
  </si>
  <si>
    <t>cliffordj@yahoo.ca</t>
  </si>
  <si>
    <t>breegster@outlook.com</t>
  </si>
  <si>
    <t>calin@comcast.net</t>
  </si>
  <si>
    <t>singer@att.net</t>
  </si>
  <si>
    <t>vsprintf@att.net</t>
  </si>
  <si>
    <t>mhassel@msn.com</t>
  </si>
  <si>
    <t>weidai@sbcglobal.net</t>
  </si>
  <si>
    <t>quantaman@msn.com</t>
  </si>
  <si>
    <t>timtroyr@gmail.com</t>
  </si>
  <si>
    <t>papathan@att.net</t>
  </si>
  <si>
    <t>jyoliver@att.net</t>
  </si>
  <si>
    <t>steve@sbcglobal.net</t>
  </si>
  <si>
    <t>falcao@live.com</t>
  </si>
  <si>
    <t>wildfire@mac.com</t>
  </si>
  <si>
    <t>pfitza@comcast.net</t>
  </si>
  <si>
    <t>staffelb@mac.com</t>
  </si>
  <si>
    <t>chaffar@live.com</t>
  </si>
  <si>
    <t>bmidd@gmail.com</t>
  </si>
  <si>
    <t>north@live.com</t>
  </si>
  <si>
    <t>scottzed@gmail.com</t>
  </si>
  <si>
    <t>jramio@icloud.com</t>
  </si>
  <si>
    <t>wagnerch@yahoo.com</t>
  </si>
  <si>
    <t>nighthawk@aol.com</t>
  </si>
  <si>
    <t>pthomsen@yahoo.com</t>
  </si>
  <si>
    <t>nelson@yahoo.com</t>
  </si>
  <si>
    <t>augusto@gmail.com</t>
  </si>
  <si>
    <t>jrifkin@outlook.com</t>
  </si>
  <si>
    <t>pgolle@outlook.com</t>
  </si>
  <si>
    <t>sekiya@live.com</t>
  </si>
  <si>
    <t>airship@verizon.net</t>
  </si>
  <si>
    <t>credmond@hotmail.com</t>
  </si>
  <si>
    <t>parrt@outlook.com</t>
  </si>
  <si>
    <t>mwandel@att.net</t>
  </si>
  <si>
    <t>lamprecht@live.com</t>
  </si>
  <si>
    <t>fudrucker@live.com</t>
  </si>
  <si>
    <t>ntegrity@aol.com</t>
  </si>
  <si>
    <t>shaffei@outlook.com</t>
  </si>
  <si>
    <t>tellis@yahoo.com</t>
  </si>
  <si>
    <t>mcraigw@yahoo.ca</t>
  </si>
  <si>
    <t>clkao@outlook.com</t>
  </si>
  <si>
    <t>kwilliams@icloud.com</t>
  </si>
  <si>
    <t>munson@icloud.com</t>
  </si>
  <si>
    <t>nwiger@aol.com</t>
  </si>
  <si>
    <t>epeeist@gmail.com</t>
  </si>
  <si>
    <t>krueger@comcast.net</t>
  </si>
  <si>
    <t>dsugal@live.com</t>
  </si>
  <si>
    <t>tellis@me.com</t>
  </si>
  <si>
    <t>inico@aol.com</t>
  </si>
  <si>
    <t>bebing@optonline.net</t>
  </si>
  <si>
    <t>jdray@aol.com</t>
  </si>
  <si>
    <t>irving@sbcglobal.net</t>
  </si>
  <si>
    <t>andersbr@hotmail.com</t>
  </si>
  <si>
    <t>parrt@yahoo.ca</t>
  </si>
  <si>
    <t>cliffski@live.com</t>
  </si>
  <si>
    <t>mlewan@att.net</t>
  </si>
  <si>
    <t>dwsauder@yahoo.com</t>
  </si>
  <si>
    <t>djupedal@yahoo.com</t>
  </si>
  <si>
    <t>dpitts@mac.com</t>
  </si>
  <si>
    <t>kevinm@live.com</t>
  </si>
  <si>
    <t>okroeger@gmail.com</t>
  </si>
  <si>
    <t>smpeters@optonline.net</t>
  </si>
  <si>
    <t>balchen@aol.com</t>
  </si>
  <si>
    <t>marin@att.net</t>
  </si>
  <si>
    <t>bdthomas@yahoo.ca</t>
  </si>
  <si>
    <t>sartak@outlook.com</t>
  </si>
  <si>
    <t>jmmuller@yahoo.com</t>
  </si>
  <si>
    <t>bowmanbs@me.com</t>
  </si>
  <si>
    <t>parsimony@live.com</t>
  </si>
  <si>
    <t>weazelman@optonline.net</t>
  </si>
  <si>
    <t>dexter@aol.com</t>
  </si>
  <si>
    <t>avalon@att.net</t>
  </si>
  <si>
    <t>mgemmons@optonline.net</t>
  </si>
  <si>
    <t>djpig@aol.com</t>
  </si>
  <si>
    <t>bartak@comcast.net</t>
  </si>
  <si>
    <t>jmcnamara@yahoo.com</t>
  </si>
  <si>
    <t>aibrahim@comcast.net</t>
  </si>
  <si>
    <t>duncand@yahoo.com</t>
  </si>
  <si>
    <t>bdbrown@att.net</t>
  </si>
  <si>
    <t>monkeydo@att.net</t>
  </si>
  <si>
    <t>amichalo@verizon.net</t>
  </si>
  <si>
    <t>gravyface@aol.com</t>
  </si>
  <si>
    <t>webdragon@msn.com</t>
  </si>
  <si>
    <t>matthijs@me.com</t>
  </si>
  <si>
    <t>kidehen@msn.com</t>
  </si>
  <si>
    <t>rjones@yahoo.com</t>
  </si>
  <si>
    <t>zavadsky@yahoo.ca</t>
  </si>
  <si>
    <t>jaesenj@icloud.com</t>
  </si>
  <si>
    <t>smcnabb@mac.com</t>
  </si>
  <si>
    <t>sagal@outlook.com</t>
  </si>
  <si>
    <t>dwendlan@gmail.com</t>
  </si>
  <si>
    <t>nweaver@att.net</t>
  </si>
  <si>
    <t>odlyzko@icloud.com</t>
  </si>
  <si>
    <t>jipsen@mac.com</t>
  </si>
  <si>
    <t>bogjobber@outlook.com</t>
  </si>
  <si>
    <t>benanov@att.net</t>
  </si>
  <si>
    <t>rnewman@verizon.net</t>
  </si>
  <si>
    <t>oracle@hotmail.com</t>
  </si>
  <si>
    <t>ianbuck@yahoo.com</t>
  </si>
  <si>
    <t>hampton@hotmail.com</t>
  </si>
  <si>
    <t>boomzilla@sbcglobal.net</t>
  </si>
  <si>
    <t>bulletin@att.net</t>
  </si>
  <si>
    <t>animats@msn.com</t>
  </si>
  <si>
    <t>dieman@mac.com</t>
  </si>
  <si>
    <t>augusto@yahoo.com</t>
  </si>
  <si>
    <t>dunstan@outlook.com</t>
  </si>
  <si>
    <t>mhoffman@sbcglobal.net</t>
  </si>
  <si>
    <t>weazelman@gmail.com</t>
  </si>
  <si>
    <t>mirod@icloud.com</t>
  </si>
  <si>
    <t>yangyan@msn.com</t>
  </si>
  <si>
    <t>benits@optonline.net</t>
  </si>
  <si>
    <t>oevans@aol.com</t>
  </si>
  <si>
    <t>sfoskett@yahoo.com</t>
  </si>
  <si>
    <t>catalog@hotmail.com</t>
  </si>
  <si>
    <t>preneel@verizon.net</t>
  </si>
  <si>
    <t>drezet@msn.com</t>
  </si>
  <si>
    <t>symbolic@mac.com</t>
  </si>
  <si>
    <t>melnik@mac.com</t>
  </si>
  <si>
    <t>vertigo@optonline.net</t>
  </si>
  <si>
    <t>odlyzko@outlook.com</t>
  </si>
  <si>
    <t>nachbaur@yahoo.com</t>
  </si>
  <si>
    <t>cumarana@att.net</t>
  </si>
  <si>
    <t>donev@outlook.com</t>
  </si>
  <si>
    <t>hutton@me.com</t>
  </si>
  <si>
    <t>corrada@mac.com</t>
  </si>
  <si>
    <t>chinthaka@aol.com</t>
  </si>
  <si>
    <t>cgreuter@yahoo.com</t>
  </si>
  <si>
    <t>ateniese@hotmail.com</t>
  </si>
  <si>
    <t>mcmillan@optonline.net</t>
  </si>
  <si>
    <t>gilmoure@yahoo.ca</t>
  </si>
  <si>
    <t>mbrown@live.com</t>
  </si>
  <si>
    <t>qmacro@verizon.net</t>
  </si>
  <si>
    <t>staikos@gmail.com</t>
  </si>
  <si>
    <t>knorr@comcast.net</t>
  </si>
  <si>
    <t>gavinls@verizon.net</t>
  </si>
  <si>
    <t>scarolan@aol.com</t>
  </si>
  <si>
    <t>hutton@comcast.net</t>
  </si>
  <si>
    <t>pizza@gmail.com</t>
  </si>
  <si>
    <t>mobileip@yahoo.ca</t>
  </si>
  <si>
    <t>horrocks@yahoo.com</t>
  </si>
  <si>
    <t>sarahs@aol.com</t>
  </si>
  <si>
    <t>fluffy@aol.com</t>
  </si>
  <si>
    <t>jeffcovey@optonline.net</t>
  </si>
  <si>
    <t>naoya@outlook.com</t>
  </si>
  <si>
    <t>mrobshaw@me.com</t>
  </si>
  <si>
    <t>ajlitt@outlook.com</t>
  </si>
  <si>
    <t>dawnsong@icloud.com</t>
  </si>
  <si>
    <t>mirod@aol.com</t>
  </si>
  <si>
    <t>uraeus@aol.com</t>
  </si>
  <si>
    <t>treeves@comcast.net</t>
  </si>
  <si>
    <t>gknauss@outlook.com</t>
  </si>
  <si>
    <t>duncand@mac.com</t>
  </si>
  <si>
    <t>marioph@mac.com</t>
  </si>
  <si>
    <t>unreal@aol.com</t>
  </si>
  <si>
    <t>mdielmann@yahoo.ca</t>
  </si>
  <si>
    <t>kuparine@msn.com</t>
  </si>
  <si>
    <t>pfitza@live.com</t>
  </si>
  <si>
    <t>comdig@yahoo.ca</t>
  </si>
  <si>
    <t>sfoskett@verizon.net</t>
  </si>
  <si>
    <t>techie@gmail.com</t>
  </si>
  <si>
    <t>kjetilk@live.com</t>
  </si>
  <si>
    <t>kourai@me.com</t>
  </si>
  <si>
    <t>kempsonc@aol.com</t>
  </si>
  <si>
    <t>joglo@optonline.net</t>
  </si>
  <si>
    <t>pakaste@msn.com</t>
  </si>
  <si>
    <t>facet@gmail.com</t>
  </si>
  <si>
    <t>lstaf@me.com</t>
  </si>
  <si>
    <t>vganesh@hotmail.com</t>
  </si>
  <si>
    <t>seebs@gmail.com</t>
  </si>
  <si>
    <t>baveja@msn.com</t>
  </si>
  <si>
    <t>jdhedden@me.com</t>
  </si>
  <si>
    <t>nimaclea@mac.com</t>
  </si>
  <si>
    <t>wikinerd@msn.com</t>
  </si>
  <si>
    <t>suresh@sbcglobal.net</t>
  </si>
  <si>
    <t>mhassel@outlook.com</t>
  </si>
  <si>
    <t>mcsporran@hotmail.com</t>
  </si>
  <si>
    <t>lcheng@outlook.com</t>
  </si>
  <si>
    <t>weidai@att.net</t>
  </si>
  <si>
    <t>jpflip@hotmail.com</t>
  </si>
  <si>
    <t>smpeters@gmail.com</t>
  </si>
  <si>
    <t>cosimo@live.com</t>
  </si>
  <si>
    <t>bdbrown@yahoo.ca</t>
  </si>
  <si>
    <t>psharpe@me.com</t>
  </si>
  <si>
    <t>moxfulder@sbcglobal.net</t>
  </si>
  <si>
    <t>tattooman@comcast.net</t>
  </si>
  <si>
    <t>scottzed@live.com</t>
  </si>
  <si>
    <t>hampton@me.com</t>
  </si>
  <si>
    <t>clkao@yahoo.com</t>
  </si>
  <si>
    <t>amaranth@mac.com</t>
  </si>
  <si>
    <t>pemungkah@verizon.net</t>
  </si>
  <si>
    <t>joehall@gmail.com</t>
  </si>
  <si>
    <t>ntegrity@hotmail.com</t>
  </si>
  <si>
    <t>kawasaki@att.net</t>
  </si>
  <si>
    <t>library@yahoo.com</t>
  </si>
  <si>
    <t>kramulous@yahoo.ca</t>
  </si>
  <si>
    <t>neonatus@comcast.net</t>
  </si>
  <si>
    <t>jpflip@aol.com</t>
  </si>
  <si>
    <t>jnolan@att.net</t>
  </si>
  <si>
    <t>snunez@optonline.net</t>
  </si>
  <si>
    <t>sarahs@mac.com</t>
  </si>
  <si>
    <t>mosses@yahoo.ca</t>
  </si>
  <si>
    <t>parkes@att.net</t>
  </si>
  <si>
    <t>rgiersig@outlook.com</t>
  </si>
  <si>
    <t>kevinm@me.com</t>
  </si>
  <si>
    <t>notaprguy@outlook.com</t>
  </si>
  <si>
    <t>johnh@gmail.com</t>
  </si>
  <si>
    <t>erynf@mac.com</t>
  </si>
  <si>
    <t>jginspace@optonline.net</t>
  </si>
  <si>
    <t>terjesa@att.net</t>
  </si>
  <si>
    <t>hermes@optonline.net</t>
  </si>
  <si>
    <t>jguyer@icloud.com</t>
  </si>
  <si>
    <t>wkrebs@icloud.com</t>
  </si>
  <si>
    <t>msherr@mac.com</t>
  </si>
  <si>
    <t>evans@hotmail.com</t>
  </si>
  <si>
    <t>dgriffith@sbcglobal.net</t>
  </si>
  <si>
    <t>sakusha@me.com</t>
  </si>
  <si>
    <t>starstuff@live.com</t>
  </si>
  <si>
    <t>zeller@yahoo.com</t>
  </si>
  <si>
    <t>parasite@comcast.net</t>
  </si>
  <si>
    <t>sherzodr@aol.com</t>
  </si>
  <si>
    <t>ajohnson@comcast.net</t>
  </si>
  <si>
    <t>hmbrand@optonline.net</t>
  </si>
  <si>
    <t>clkao@optonline.net</t>
  </si>
  <si>
    <t>kingma@mac.com</t>
  </si>
  <si>
    <t>mahbub@mac.com</t>
  </si>
  <si>
    <t>A</t>
  </si>
  <si>
    <t>B</t>
  </si>
  <si>
    <t>C</t>
  </si>
  <si>
    <t>D</t>
  </si>
  <si>
    <t>E</t>
  </si>
  <si>
    <t>(598) 451-5865</t>
  </si>
  <si>
    <t>(869) 771-1487</t>
  </si>
  <si>
    <t>(246) 245-7306</t>
  </si>
  <si>
    <t>(707) 933-2513</t>
  </si>
  <si>
    <t>(612) 325-0216</t>
  </si>
  <si>
    <t>(992) 564-5230</t>
  </si>
  <si>
    <t>(651) 544-1246</t>
  </si>
  <si>
    <t>(851) 782-6044</t>
  </si>
  <si>
    <t>(265) 609-6654</t>
  </si>
  <si>
    <t>(305) 491-4988</t>
  </si>
  <si>
    <t>(561) 649-7485</t>
  </si>
  <si>
    <t>(966) 735-9451</t>
  </si>
  <si>
    <t>(711) 282-2848</t>
  </si>
  <si>
    <t>(337) 397-0627</t>
  </si>
  <si>
    <t>(969) 383-4277</t>
  </si>
  <si>
    <t>(748) 495-1748</t>
  </si>
  <si>
    <t>(494) 813-5651</t>
  </si>
  <si>
    <t>(779) 217-3175</t>
  </si>
  <si>
    <t>(904) 204-2255</t>
  </si>
  <si>
    <t>(932) 307-3409</t>
  </si>
  <si>
    <t>(993) 960-7653</t>
  </si>
  <si>
    <t>(611) 927-0572</t>
  </si>
  <si>
    <t>(283) 384-7846</t>
  </si>
  <si>
    <t>(677) 875-1069</t>
  </si>
  <si>
    <t>(886) 929-9282</t>
  </si>
  <si>
    <t>(596) 660-5408</t>
  </si>
  <si>
    <t>(768) 242-5793</t>
  </si>
  <si>
    <t>(483) 388-3044</t>
  </si>
  <si>
    <t>(525) 814-4351</t>
  </si>
  <si>
    <t>(872) 458-4785</t>
  </si>
  <si>
    <t>(600) 318-8808</t>
  </si>
  <si>
    <t>(437) 406-2974</t>
  </si>
  <si>
    <t>(615) 712-3381</t>
  </si>
  <si>
    <t>(651) 742-1141</t>
  </si>
  <si>
    <t>(517) 690-8580</t>
  </si>
  <si>
    <t>(616) 766-2111</t>
  </si>
  <si>
    <t>(685) 726-6159</t>
  </si>
  <si>
    <t>(737) 772-3449</t>
  </si>
  <si>
    <t>(876) 612-6879</t>
  </si>
  <si>
    <t>(669) 791-3350</t>
  </si>
  <si>
    <t>(642) 368-4225</t>
  </si>
  <si>
    <t>(953) 901-9132</t>
  </si>
  <si>
    <t>(869) 720-8135</t>
  </si>
  <si>
    <t>(319) 633-9396</t>
  </si>
  <si>
    <t>(731) 945-6687</t>
  </si>
  <si>
    <t>(435) 742-6743</t>
  </si>
  <si>
    <t>(684) 330-1830</t>
  </si>
  <si>
    <t>(843) 248-6284</t>
  </si>
  <si>
    <t>(390) 565-9213</t>
  </si>
  <si>
    <t>(951) 953-8812</t>
  </si>
  <si>
    <t>(516) 909-2316</t>
  </si>
  <si>
    <t>(833) 629-5357</t>
  </si>
  <si>
    <t>(260) 680-9015</t>
  </si>
  <si>
    <t>(724) 882-6713</t>
  </si>
  <si>
    <t>(663) 750-6940</t>
  </si>
  <si>
    <t>(325) 631-2099</t>
  </si>
  <si>
    <t>(594) 787-2465</t>
  </si>
  <si>
    <t>(720) 491-3517</t>
  </si>
  <si>
    <t>(735) 587-8913</t>
  </si>
  <si>
    <t>(295) 530-5752</t>
  </si>
  <si>
    <t>(306) 906-7975</t>
  </si>
  <si>
    <t>(452) 597-0784</t>
  </si>
  <si>
    <t>(363) 441-6561</t>
  </si>
  <si>
    <t>(550) 890-6346</t>
  </si>
  <si>
    <t>(906) 421-7305</t>
  </si>
  <si>
    <t>(977) 707-4772</t>
  </si>
  <si>
    <t>(871) 218-8630</t>
  </si>
  <si>
    <t>(522) 326-9656</t>
  </si>
  <si>
    <t>(924) 599-2856</t>
  </si>
  <si>
    <t>(998) 710-2563</t>
  </si>
  <si>
    <t>(319) 810-1693</t>
  </si>
  <si>
    <t>(794) 504-1808</t>
  </si>
  <si>
    <t>(493) 999-4390</t>
  </si>
  <si>
    <t>(804) 655-0207</t>
  </si>
  <si>
    <t>(554) 800-9842</t>
  </si>
  <si>
    <t>(548) 446-1387</t>
  </si>
  <si>
    <t>(517) 369-6486</t>
  </si>
  <si>
    <t>(893) 798-8990</t>
  </si>
  <si>
    <t>(504) 719-6268</t>
  </si>
  <si>
    <t>(295) 508-7243</t>
  </si>
  <si>
    <t>(940) 762-9096</t>
  </si>
  <si>
    <t>(370) 597-5412</t>
  </si>
  <si>
    <t>(996) 458-0103</t>
  </si>
  <si>
    <t>(223) 934-8344</t>
  </si>
  <si>
    <t>(611) 728-9360</t>
  </si>
  <si>
    <t>(446) 436-2416</t>
  </si>
  <si>
    <t>(205) 877-2303</t>
  </si>
  <si>
    <t>(442) 997-2681</t>
  </si>
  <si>
    <t>(200) 695-5178</t>
  </si>
  <si>
    <t>(892) 339-6497</t>
  </si>
  <si>
    <t>(719) 593-5606</t>
  </si>
  <si>
    <t>(719) 881-4363</t>
  </si>
  <si>
    <t>(346) 442-6581</t>
  </si>
  <si>
    <t>(690) 340-6090</t>
  </si>
  <si>
    <t>(722) 742-7576</t>
  </si>
  <si>
    <t>(449) 524-6231</t>
  </si>
  <si>
    <t>(703) 723-3874</t>
  </si>
  <si>
    <t>(435) 239-5138</t>
  </si>
  <si>
    <t>(580) 240-1515</t>
  </si>
  <si>
    <t>(650) 385-0635</t>
  </si>
  <si>
    <t>(243) 906-5992</t>
  </si>
  <si>
    <t>(209) 297-3958</t>
  </si>
  <si>
    <t>(966) 338-9815</t>
  </si>
  <si>
    <t>(638) 925-5729</t>
  </si>
  <si>
    <t>(681) 914-0083</t>
  </si>
  <si>
    <t>(354) 628-2294</t>
  </si>
  <si>
    <t>(888) 289-8104</t>
  </si>
  <si>
    <t>(393) 626-4948</t>
  </si>
  <si>
    <t>(887) 262-0302</t>
  </si>
  <si>
    <t>(462) 566-8729</t>
  </si>
  <si>
    <t>(661) 929-3370</t>
  </si>
  <si>
    <t>(859) 862-4703</t>
  </si>
  <si>
    <t>(415) 981-0636</t>
  </si>
  <si>
    <t>(563) 420-8118</t>
  </si>
  <si>
    <t>(462) 763-2017</t>
  </si>
  <si>
    <t>(701) 212-8508</t>
  </si>
  <si>
    <t>(714) 278-0966</t>
  </si>
  <si>
    <t>(523) 677-7026</t>
  </si>
  <si>
    <t>(615) 522-3616</t>
  </si>
  <si>
    <t>(497) 402-3196</t>
  </si>
  <si>
    <t>(624) 360-5381</t>
  </si>
  <si>
    <t>(417) 559-0451</t>
  </si>
  <si>
    <t>(650) 230-0049</t>
  </si>
  <si>
    <t>(863) 238-8964</t>
  </si>
  <si>
    <t>(340) 944-7011</t>
  </si>
  <si>
    <t>(388) 447-0349</t>
  </si>
  <si>
    <t>(562) 364-8454</t>
  </si>
  <si>
    <t>(332) 349-8146</t>
  </si>
  <si>
    <t>(286) 718-4373</t>
  </si>
  <si>
    <t>(397) 693-0198</t>
  </si>
  <si>
    <t>(874) 698-3563</t>
  </si>
  <si>
    <t>(633) 872-7554</t>
  </si>
  <si>
    <t>(799) 691-3758</t>
  </si>
  <si>
    <t>(625) 240-8609</t>
  </si>
  <si>
    <t>(677) 815-4415</t>
  </si>
  <si>
    <t>(368) 227-4620</t>
  </si>
  <si>
    <t>(930) 420-2085</t>
  </si>
  <si>
    <t>(883) 797-3367</t>
  </si>
  <si>
    <t>(616) 916-4936</t>
  </si>
  <si>
    <t>(406) 344-3322</t>
  </si>
  <si>
    <t>(323) 771-5959</t>
  </si>
  <si>
    <t>(898) 732-6602</t>
  </si>
  <si>
    <t>(551) 404-1539</t>
  </si>
  <si>
    <t>(488) 349-4237</t>
  </si>
  <si>
    <t>(296) 444-2189</t>
  </si>
  <si>
    <t>(988) 961-4637</t>
  </si>
  <si>
    <t>(486) 549-5020</t>
  </si>
  <si>
    <t>(868) 892-8961</t>
  </si>
  <si>
    <t>(473) 875-0023</t>
  </si>
  <si>
    <t>(700) 958-6128</t>
  </si>
  <si>
    <t>(696) 679-7702</t>
  </si>
  <si>
    <t>(250) 248-4300</t>
  </si>
  <si>
    <t>(834) 508-9490</t>
  </si>
  <si>
    <t>(503) 283-5457</t>
  </si>
  <si>
    <t>(461) 976-3596</t>
  </si>
  <si>
    <t>(398) 272-4739</t>
  </si>
  <si>
    <t>(279) 586-2100</t>
  </si>
  <si>
    <t>(988) 433-7129</t>
  </si>
  <si>
    <t>(357) 352-8928</t>
  </si>
  <si>
    <t>(240) 852-8613</t>
  </si>
  <si>
    <t>(403) 855-3645</t>
  </si>
  <si>
    <t>(593) 356-1838</t>
  </si>
  <si>
    <t>(433) 213-5953</t>
  </si>
  <si>
    <t>(669) 290-1610</t>
  </si>
  <si>
    <t>(472) 605-7532</t>
  </si>
  <si>
    <t>(287) 839-5879</t>
  </si>
  <si>
    <t>(622) 903-6022</t>
  </si>
  <si>
    <t>(797) 421-8320</t>
  </si>
  <si>
    <t>(478) 658-1534</t>
  </si>
  <si>
    <t>(671) 615-3675</t>
  </si>
  <si>
    <t>(713) 795-1422</t>
  </si>
  <si>
    <t>(201) 705-6808</t>
  </si>
  <si>
    <t>(322) 327-1204</t>
  </si>
  <si>
    <t>(644) 469-5761</t>
  </si>
  <si>
    <t>(674) 440-0703</t>
  </si>
  <si>
    <t>(640) 568-2625</t>
  </si>
  <si>
    <t>(409) 889-4836</t>
  </si>
  <si>
    <t>(359) 210-8594</t>
  </si>
  <si>
    <t>(474) 494-9364</t>
  </si>
  <si>
    <t>(681) 820-0747</t>
  </si>
  <si>
    <t>(921) 657-7404</t>
  </si>
  <si>
    <t>(451) 889-2527</t>
  </si>
  <si>
    <t>(487) 654-5535</t>
  </si>
  <si>
    <t>(243) 692-9341</t>
  </si>
  <si>
    <t>(726) 607-0923</t>
  </si>
  <si>
    <t>(861) 258-0892</t>
  </si>
  <si>
    <t>(514) 904-4726</t>
  </si>
  <si>
    <t>(829) 721-4200</t>
  </si>
  <si>
    <t>(983) 385-7043</t>
  </si>
  <si>
    <t>(223) 360-1632</t>
  </si>
  <si>
    <t>(412) 836-0738</t>
  </si>
  <si>
    <t>(238) 664-3657</t>
  </si>
  <si>
    <t>(759) 680-2696</t>
  </si>
  <si>
    <t>(395) 780-5461</t>
  </si>
  <si>
    <t>(372) 818-3567</t>
  </si>
  <si>
    <t>(935) 960-4873</t>
  </si>
  <si>
    <t>(971) 288-1186</t>
  </si>
  <si>
    <t>(994) 447-4889</t>
  </si>
  <si>
    <t>(232) 476-5035</t>
  </si>
  <si>
    <t>(288) 574-6749</t>
  </si>
  <si>
    <t>(969) 763-9226</t>
  </si>
  <si>
    <t>(732) 708-8561</t>
  </si>
  <si>
    <t>(314) 254-1244</t>
  </si>
  <si>
    <t>(460) 682-5923</t>
  </si>
  <si>
    <t>(200) 565-5639</t>
  </si>
  <si>
    <t>(357) 769-3070</t>
  </si>
  <si>
    <t>(587) 626-3175</t>
  </si>
  <si>
    <t>(465) 293-1802</t>
  </si>
  <si>
    <t>(709) 815-7677</t>
  </si>
  <si>
    <t>(605) 810-1781</t>
  </si>
  <si>
    <t>(256) 681-2246</t>
  </si>
  <si>
    <t>(304) 471-5232</t>
  </si>
  <si>
    <t>(411) 283-4519</t>
  </si>
  <si>
    <t>(442) 496-8157</t>
  </si>
  <si>
    <t>(205) 909-7964</t>
  </si>
  <si>
    <t>(730) 534-7609</t>
  </si>
  <si>
    <t>(770) 286-4391</t>
  </si>
  <si>
    <t>(732) 906-0070</t>
  </si>
  <si>
    <t>(943) 428-2313</t>
  </si>
  <si>
    <t>(785) 951-2152</t>
  </si>
  <si>
    <t>(406) 847-9870</t>
  </si>
  <si>
    <t>(965) 911-5076</t>
  </si>
  <si>
    <t>(599) 327-2008</t>
  </si>
  <si>
    <t>(656) 470-6146</t>
  </si>
  <si>
    <t>(327) 329-5055</t>
  </si>
  <si>
    <t>(208) 903-9126</t>
  </si>
  <si>
    <t>(440) 419-1193</t>
  </si>
  <si>
    <t>(357) 843-1297</t>
  </si>
  <si>
    <t>(726) 820-4884</t>
  </si>
  <si>
    <t>(741) 507-6188</t>
  </si>
  <si>
    <t>(847) 529-3256</t>
  </si>
  <si>
    <t>(622) 751-8803</t>
  </si>
  <si>
    <t>(681) 720-0173</t>
  </si>
  <si>
    <t>(947) 794-9523</t>
  </si>
  <si>
    <t>(697) 343-2772</t>
  </si>
  <si>
    <t>(864) 686-9890</t>
  </si>
  <si>
    <t>(259) 588-3616</t>
  </si>
  <si>
    <t>(711) 535-5569</t>
  </si>
  <si>
    <t>(390) 414-6347</t>
  </si>
  <si>
    <t>(622) 524-5931</t>
  </si>
  <si>
    <t>(832) 663-7857</t>
  </si>
  <si>
    <t>(774) 962-9792</t>
  </si>
  <si>
    <t>(456) 478-8124</t>
  </si>
  <si>
    <t>(689) 369-1765</t>
  </si>
  <si>
    <t>(462) 469-0733</t>
  </si>
  <si>
    <t>(296) 380-9560</t>
  </si>
  <si>
    <t>(770) 446-1820</t>
  </si>
  <si>
    <t>(752) 764-6341</t>
  </si>
  <si>
    <t>(420) 583-7227</t>
  </si>
  <si>
    <t>(844) 867-2783</t>
  </si>
  <si>
    <t>(844) 548-7367</t>
  </si>
  <si>
    <t>(653) 247-2528</t>
  </si>
  <si>
    <t>(323) 918-8630</t>
  </si>
  <si>
    <t>(951) 814-0240</t>
  </si>
  <si>
    <t>(286) 747-9510</t>
  </si>
  <si>
    <t>(780) 915-5789</t>
  </si>
  <si>
    <t>(611) 316-6464</t>
  </si>
  <si>
    <t>(347) 423-7150</t>
  </si>
  <si>
    <t>(690) 391-9308</t>
  </si>
  <si>
    <t>(300) 748-5245</t>
  </si>
  <si>
    <t>(399) 450-6042</t>
  </si>
  <si>
    <t>(941) 250-4612</t>
  </si>
  <si>
    <t>(979) 636-7422</t>
  </si>
  <si>
    <t>(838) 478-1283</t>
  </si>
  <si>
    <t>(709) 730-9311</t>
  </si>
  <si>
    <t>(773) 468-1836</t>
  </si>
  <si>
    <t>(629) 776-7927</t>
  </si>
  <si>
    <t>(374) 637-9848</t>
  </si>
  <si>
    <t>(614) 742-3346</t>
  </si>
  <si>
    <t>(591) 540-1501</t>
  </si>
  <si>
    <t>(674) 692-6307</t>
  </si>
  <si>
    <t>(613) 385-7225</t>
  </si>
  <si>
    <t>(911) 247-1909</t>
  </si>
  <si>
    <t>(428) 712-4844</t>
  </si>
  <si>
    <t>(911) 550-2155</t>
  </si>
  <si>
    <t>(593) 925-4662</t>
  </si>
  <si>
    <t>(538) 584-5847</t>
  </si>
  <si>
    <t>(336) 788-8866</t>
  </si>
  <si>
    <t>(878) 213-7548</t>
  </si>
  <si>
    <t>(544) 332-6097</t>
  </si>
  <si>
    <t>(992) 343-2800</t>
  </si>
  <si>
    <t>(272) 202-0144</t>
  </si>
  <si>
    <t>(738) 345-5103</t>
  </si>
  <si>
    <t>(713) 922-0553</t>
  </si>
  <si>
    <t>(682) 502-1976</t>
  </si>
  <si>
    <t>(260) 372-4164</t>
  </si>
  <si>
    <t>(502) 779-9801</t>
  </si>
  <si>
    <t>(687) 734-3575</t>
  </si>
  <si>
    <t>(503) 471-0311</t>
  </si>
  <si>
    <t>(640) 467-1066</t>
  </si>
  <si>
    <t>(350) 900-0774</t>
  </si>
  <si>
    <t>(593) 907-1562</t>
  </si>
  <si>
    <t>(848) 559-5729</t>
  </si>
  <si>
    <t>(986) 369-4687</t>
  </si>
  <si>
    <t>(815) 645-0166</t>
  </si>
  <si>
    <t>(456) 670-3912</t>
  </si>
  <si>
    <t>(997) 481-7573</t>
  </si>
  <si>
    <t>(571) 271-7420</t>
  </si>
  <si>
    <t>(674) 672-8423</t>
  </si>
  <si>
    <t>(505) 554-8992</t>
  </si>
  <si>
    <t>(826) 231-0876</t>
  </si>
  <si>
    <t>(499) 874-0371</t>
  </si>
  <si>
    <t>(317) 232-9358</t>
  </si>
  <si>
    <t>(852) 388-3751</t>
  </si>
  <si>
    <t>(366) 604-3609</t>
  </si>
  <si>
    <t>(800) 687-3027</t>
  </si>
  <si>
    <t>(924) 920-0218</t>
  </si>
  <si>
    <t>(733) 648-0855</t>
  </si>
  <si>
    <t>(496) 879-5338</t>
  </si>
  <si>
    <t>(363) 981-6810</t>
  </si>
  <si>
    <t>(643) 252-3203</t>
  </si>
  <si>
    <t>(491) 779-1547</t>
  </si>
  <si>
    <t>(731) 808-7183</t>
  </si>
  <si>
    <t>(879) 310-9113</t>
  </si>
  <si>
    <t>(944) 942-5965</t>
  </si>
  <si>
    <t>(257) 383-2777</t>
  </si>
  <si>
    <t>(286) 539-1526</t>
  </si>
  <si>
    <t>(408) 475-2351</t>
  </si>
  <si>
    <t>(654) 850-5430</t>
  </si>
  <si>
    <t>(704) 732-6961</t>
  </si>
  <si>
    <t>(400) 235-6788</t>
  </si>
  <si>
    <t>(363) 851-7332</t>
  </si>
  <si>
    <t>(892) 211-3578</t>
  </si>
  <si>
    <t>(231) 936-5897</t>
  </si>
  <si>
    <t>(609) 914-4233</t>
  </si>
  <si>
    <t>(776) 448-2874</t>
  </si>
  <si>
    <t>(487) 768-3548</t>
  </si>
  <si>
    <t>(601) 357-6775</t>
  </si>
  <si>
    <t>(296) 236-1828</t>
  </si>
  <si>
    <t>(691) 320-1793</t>
  </si>
  <si>
    <t>(919) 955-4757</t>
  </si>
  <si>
    <t>(895) 527-9965</t>
  </si>
  <si>
    <t>(779) 490-1731</t>
  </si>
  <si>
    <t>(317) 905-9963</t>
  </si>
  <si>
    <t>(636) 558-0180</t>
  </si>
  <si>
    <t>(985) 919-4960</t>
  </si>
  <si>
    <t>(558) 212-5147</t>
  </si>
  <si>
    <t>(792) 524-2198</t>
  </si>
  <si>
    <t>(267) 864-5928</t>
  </si>
  <si>
    <t>(496) 239-3951</t>
  </si>
  <si>
    <t>(252) 667-8366</t>
  </si>
  <si>
    <t>(609) 330-8191</t>
  </si>
  <si>
    <t>(439) 401-6738</t>
  </si>
  <si>
    <t>(946) 600-8214</t>
  </si>
  <si>
    <t>(384) 619-1581</t>
  </si>
  <si>
    <t>(675) 655-1424</t>
  </si>
  <si>
    <t>(842) 708-2942</t>
  </si>
  <si>
    <t>(656) 301-2331</t>
  </si>
  <si>
    <t>(728) 554-8409</t>
  </si>
  <si>
    <t>(557) 382-0708</t>
  </si>
  <si>
    <t>(395) 354-7424</t>
  </si>
  <si>
    <t>(752) 229-5173</t>
  </si>
  <si>
    <t>(653) 317-7538</t>
  </si>
  <si>
    <t>(720) 816-6636</t>
  </si>
  <si>
    <t>(392) 567-1811</t>
  </si>
  <si>
    <t>(233) 981-3075</t>
  </si>
  <si>
    <t>(469) 699-2655</t>
  </si>
  <si>
    <t>(311) 568-5798</t>
  </si>
  <si>
    <t>(930) 839-6069</t>
  </si>
  <si>
    <t>(595) 770-6147</t>
  </si>
  <si>
    <t>(796) 698-2556</t>
  </si>
  <si>
    <t>(518) 447-3410</t>
  </si>
  <si>
    <t>(963) 286-3940</t>
  </si>
  <si>
    <t>(989) 381-2553</t>
  </si>
  <si>
    <t>(760) 748-7416</t>
  </si>
  <si>
    <t>(382) 950-9603</t>
  </si>
  <si>
    <t>(256) 505-6404</t>
  </si>
  <si>
    <t>(262) 756-8019</t>
  </si>
  <si>
    <t>(437) 405-6290</t>
  </si>
  <si>
    <t>(582) 368-1385</t>
  </si>
  <si>
    <t>(659) 871-3879</t>
  </si>
  <si>
    <t>(353) 426-1757</t>
  </si>
  <si>
    <t>(856) 331-2705</t>
  </si>
  <si>
    <t>(700) 644-2712</t>
  </si>
  <si>
    <t>(294) 342-2123</t>
  </si>
  <si>
    <t>(232) 232-3544</t>
  </si>
  <si>
    <t>(368) 282-4245</t>
  </si>
  <si>
    <t>(606) 269-6077</t>
  </si>
  <si>
    <t>(975) 455-9019</t>
  </si>
  <si>
    <t>(473) 353-4079</t>
  </si>
  <si>
    <t>(845) 455-2297</t>
  </si>
  <si>
    <t>(811) 819-5474</t>
  </si>
  <si>
    <t>(923) 852-7654</t>
  </si>
  <si>
    <t>(559) 237-1566</t>
  </si>
  <si>
    <t>(930) 751-5153</t>
  </si>
  <si>
    <t>(423) 496-3540</t>
  </si>
  <si>
    <t>(566) 531-0451</t>
  </si>
  <si>
    <t>(923) 361-1596</t>
  </si>
  <si>
    <t>(479) 389-7125</t>
  </si>
  <si>
    <t>(522) 838-0614</t>
  </si>
  <si>
    <t>(463) 645-5648</t>
  </si>
  <si>
    <t>(968) 499-4402</t>
  </si>
  <si>
    <t>(263) 379-6789</t>
  </si>
  <si>
    <t>(316) 405-3234</t>
  </si>
  <si>
    <t>(443) 667-4609</t>
  </si>
  <si>
    <t>(851) 269-0491</t>
  </si>
  <si>
    <t>(727) 313-4625</t>
  </si>
  <si>
    <t>(900) 258-6110</t>
  </si>
  <si>
    <t>(984) 388-6360</t>
  </si>
  <si>
    <t>(994) 832-9514</t>
  </si>
  <si>
    <t>(470) 309-6205</t>
  </si>
  <si>
    <t>(510) 332-3248</t>
  </si>
  <si>
    <t>(608) 742-9416</t>
  </si>
  <si>
    <t>(382) 786-4916</t>
  </si>
  <si>
    <t>(688) 304-8571</t>
  </si>
  <si>
    <t>(639) 405-1427</t>
  </si>
  <si>
    <t>(648) 441-1338</t>
  </si>
  <si>
    <t>(558) 935-7698</t>
  </si>
  <si>
    <t>(398) 257-6801</t>
  </si>
  <si>
    <t>(226) 474-1021</t>
  </si>
  <si>
    <t>(696) 224-8334</t>
  </si>
  <si>
    <t>(861) 766-3153</t>
  </si>
  <si>
    <t>(283) 579-9362</t>
  </si>
  <si>
    <t>(970) 553-9470</t>
  </si>
  <si>
    <t>(251) 956-4735</t>
  </si>
  <si>
    <t>(461) 415-6750</t>
  </si>
  <si>
    <t>(942) 377-8831</t>
  </si>
  <si>
    <t>(209) 879-7336</t>
  </si>
  <si>
    <t>(786) 225-1408</t>
  </si>
  <si>
    <t>(706) 852-2679</t>
  </si>
  <si>
    <t>(332) 433-7473</t>
  </si>
  <si>
    <t>(788) 716-6288</t>
  </si>
  <si>
    <t>(969) 824-6307</t>
  </si>
  <si>
    <t>(578) 987-8609</t>
  </si>
  <si>
    <t>(864) 796-2642</t>
  </si>
  <si>
    <t>(360) 395-0174</t>
  </si>
  <si>
    <t>(473) 259-7625</t>
  </si>
  <si>
    <t>(585) 896-7221</t>
  </si>
  <si>
    <t>(516) 505-2111</t>
  </si>
  <si>
    <t>(948) 883-9967</t>
  </si>
  <si>
    <t>(719) 644-3160</t>
  </si>
  <si>
    <t>(600) 967-9596</t>
  </si>
  <si>
    <t>(997) 396-1254</t>
  </si>
  <si>
    <t>(289) 891-8370</t>
  </si>
  <si>
    <t>(454) 330-7142</t>
  </si>
  <si>
    <t>(843) 779-5683</t>
  </si>
  <si>
    <t>(424) 719-6724</t>
  </si>
  <si>
    <t>(849) 292-8635</t>
  </si>
  <si>
    <t>(477) 421-7045</t>
  </si>
  <si>
    <t>(401) 825-3736</t>
  </si>
  <si>
    <t>(305) 393-0553</t>
  </si>
  <si>
    <t>(640) 477-1369</t>
  </si>
  <si>
    <t>(225) 944-9455</t>
  </si>
  <si>
    <t>(818) 544-9992</t>
  </si>
  <si>
    <t>(248) 248-7570</t>
  </si>
  <si>
    <t>(688) 689-4456</t>
  </si>
  <si>
    <t>(532) 988-8123</t>
  </si>
  <si>
    <t>(447) 481-7902</t>
  </si>
  <si>
    <t>(333) 864-8602</t>
  </si>
  <si>
    <t>(350) 978-7967</t>
  </si>
  <si>
    <t>(316) 992-3895</t>
  </si>
  <si>
    <t>(247) 429-9544</t>
  </si>
  <si>
    <t>(843) 742-7308</t>
  </si>
  <si>
    <t>(770) 393-3543</t>
  </si>
  <si>
    <t>(949) 598-2771</t>
  </si>
  <si>
    <t>(699) 746-9159</t>
  </si>
  <si>
    <t>(844) 950-9259</t>
  </si>
  <si>
    <t>(787) 302-4699</t>
  </si>
  <si>
    <t>(952) 745-8983</t>
  </si>
  <si>
    <t>(873) 828-7242</t>
  </si>
  <si>
    <t>(943) 865-9127</t>
  </si>
  <si>
    <t>(668) 821-9575</t>
  </si>
  <si>
    <t>(456) 829-6689</t>
  </si>
  <si>
    <t>(224) 518-9412</t>
  </si>
  <si>
    <t>(822) 587-3348</t>
  </si>
  <si>
    <t>(699) 407-0837</t>
  </si>
  <si>
    <t>(272) 549-4608</t>
  </si>
  <si>
    <t>(887) 405-0872</t>
  </si>
  <si>
    <t>(762) 491-8640</t>
  </si>
  <si>
    <t>(368) 723-8977</t>
  </si>
  <si>
    <t>(698) 412-9077</t>
  </si>
  <si>
    <t>(302) 256-8455</t>
  </si>
  <si>
    <t>(917) 817-2323</t>
  </si>
  <si>
    <t>(272) 983-1657</t>
  </si>
  <si>
    <t>(334) 772-1013</t>
  </si>
  <si>
    <t>(299) 772-6764</t>
  </si>
  <si>
    <t>(229) 988-7982</t>
  </si>
  <si>
    <t>(583) 883-0821</t>
  </si>
  <si>
    <t>(464) 724-8248</t>
  </si>
  <si>
    <t>(468) 449-7481</t>
  </si>
  <si>
    <t>(628) 943-0691</t>
  </si>
  <si>
    <t>(712) 908-2589</t>
  </si>
  <si>
    <t>(987) 571-6279</t>
  </si>
  <si>
    <t>(929) 373-3828</t>
  </si>
  <si>
    <t>(734) 789-3855</t>
  </si>
  <si>
    <t>(733) 556-5309</t>
  </si>
  <si>
    <t>(429) 856-2926</t>
  </si>
  <si>
    <t>(867) 348-9295</t>
  </si>
  <si>
    <t>(698) 662-7980</t>
  </si>
  <si>
    <t>(632) 905-5610</t>
  </si>
  <si>
    <t>(901) 282-1660</t>
  </si>
  <si>
    <t>(229) 509-6838</t>
  </si>
  <si>
    <t>(852) 727-9985</t>
  </si>
  <si>
    <t>(878) 768-5731</t>
  </si>
  <si>
    <t>(577) 307-6609</t>
  </si>
  <si>
    <t>(799) 915-9575</t>
  </si>
  <si>
    <t>(744) 335-2955</t>
  </si>
  <si>
    <t>(617) 452-1538</t>
  </si>
  <si>
    <t>(919) 981-1829</t>
  </si>
  <si>
    <t>(528) 684-9875</t>
  </si>
  <si>
    <t>(494) 899-6340</t>
  </si>
  <si>
    <t>(701) 769-5447</t>
  </si>
  <si>
    <t>(388) 723-4833</t>
  </si>
  <si>
    <t>(936) 408-8750</t>
  </si>
  <si>
    <t>(291) 231-4877</t>
  </si>
  <si>
    <t>(574) 819-4630</t>
  </si>
  <si>
    <t>(898) 602-2321</t>
  </si>
  <si>
    <t>(324) 842-3359</t>
  </si>
  <si>
    <t>(674) 307-5065</t>
  </si>
  <si>
    <t>(860) 430-9246</t>
  </si>
  <si>
    <t>(349) 220-3362</t>
  </si>
  <si>
    <t>(552) 912-4336</t>
  </si>
  <si>
    <t>(841) 890-5507</t>
  </si>
  <si>
    <t>(810) 993-2143</t>
  </si>
  <si>
    <t>(454) 648-4285</t>
  </si>
  <si>
    <t>(263) 975-5248</t>
  </si>
  <si>
    <t>(229) 791-0591</t>
  </si>
  <si>
    <t>(239) 230-6723</t>
  </si>
  <si>
    <t>(519) 834-6230</t>
  </si>
  <si>
    <t>(927) 989-2134</t>
  </si>
  <si>
    <t>(750) 231-1278</t>
  </si>
  <si>
    <t>(993) 819-1581</t>
  </si>
  <si>
    <t>(992) 764-6787</t>
  </si>
  <si>
    <t>(426) 616-7643</t>
  </si>
  <si>
    <t>(782) 483-8539</t>
  </si>
  <si>
    <t>(758) 784-6496</t>
  </si>
  <si>
    <t>(353) 949-8642</t>
  </si>
  <si>
    <t>(419) 271-2209</t>
  </si>
  <si>
    <t>(695) 831-3671</t>
  </si>
  <si>
    <t>(471) 654-4289</t>
  </si>
  <si>
    <t>(610) 698-5603</t>
  </si>
  <si>
    <t>(848) 708-6921</t>
  </si>
  <si>
    <t>(425) 759-6711</t>
  </si>
  <si>
    <t>(536) 509-3496</t>
  </si>
  <si>
    <t>(682) 371-3633</t>
  </si>
  <si>
    <t>(395) 739-7429</t>
  </si>
  <si>
    <t>(496) 593-3991</t>
  </si>
  <si>
    <t>(422) 591-9860</t>
  </si>
  <si>
    <t>(614) 614-8713</t>
  </si>
  <si>
    <t>(543) 365-7239</t>
  </si>
  <si>
    <t>(953) 224-1239</t>
  </si>
  <si>
    <t>(719) 666-7774</t>
  </si>
  <si>
    <t>(740) 214-9501</t>
  </si>
  <si>
    <t>(957) 947-6883</t>
  </si>
  <si>
    <t>(454) 614-0576</t>
  </si>
  <si>
    <t>(501) 237-3656</t>
  </si>
  <si>
    <t>(302) 344-8410</t>
  </si>
  <si>
    <t>(364) 877-2311</t>
  </si>
  <si>
    <t>(209) 900-1460</t>
  </si>
  <si>
    <t>(705) 896-8293</t>
  </si>
  <si>
    <t>(845) 453-8354</t>
  </si>
  <si>
    <t>(222) 401-6952</t>
  </si>
  <si>
    <t>(226) 882-1823</t>
  </si>
  <si>
    <t>(876) 391-9261</t>
  </si>
  <si>
    <t>(942) 807-6926</t>
  </si>
  <si>
    <t>(772) 705-5952</t>
  </si>
  <si>
    <t>(840) 981-1117</t>
  </si>
  <si>
    <t>(693) 870-1822</t>
  </si>
  <si>
    <t>(388) 451-5422</t>
  </si>
  <si>
    <t>(780) 656-1096</t>
  </si>
  <si>
    <t>(579) 952-6808</t>
  </si>
  <si>
    <t>(387) 538-2533</t>
  </si>
  <si>
    <t>(727) 372-5713</t>
  </si>
  <si>
    <t>(317) 672-5744</t>
  </si>
  <si>
    <t>(329) 891-2077</t>
  </si>
  <si>
    <t>(398) 404-4531</t>
  </si>
  <si>
    <t>(951) 374-6032</t>
  </si>
  <si>
    <t>(361) 244-5124</t>
  </si>
  <si>
    <t>(308) 927-4163</t>
  </si>
  <si>
    <t>(604) 635-3303</t>
  </si>
  <si>
    <t>(334) 850-8140</t>
  </si>
  <si>
    <t>(551) 463-3914</t>
  </si>
  <si>
    <t>(732) 565-1110</t>
  </si>
  <si>
    <t>(312) 348-5773</t>
  </si>
  <si>
    <t>(637) 729-8146</t>
  </si>
  <si>
    <t>(809) 618-5906</t>
  </si>
  <si>
    <t>(875) 247-7784</t>
  </si>
  <si>
    <t>(922) 389-1420</t>
  </si>
  <si>
    <t>(358) 338-4360</t>
  </si>
  <si>
    <t>(371) 781-3986</t>
  </si>
  <si>
    <t>(994) 884-8160</t>
  </si>
  <si>
    <t>(410) 711-4695</t>
  </si>
  <si>
    <t>(679) 967-9642</t>
  </si>
  <si>
    <t>(392) 902-5044</t>
  </si>
  <si>
    <t>(812) 508-9807</t>
  </si>
  <si>
    <t>(422) 416-4444</t>
  </si>
  <si>
    <t>(473) 919-0061</t>
  </si>
  <si>
    <t>(822) 736-4675</t>
  </si>
  <si>
    <t>(833) 823-6470</t>
  </si>
  <si>
    <t>(413) 463-3164</t>
  </si>
  <si>
    <t>(780) 604-2895</t>
  </si>
  <si>
    <t>(262) 211-0265</t>
  </si>
  <si>
    <t>(268) 712-7660</t>
  </si>
  <si>
    <t>(744) 267-9349</t>
  </si>
  <si>
    <t>(949) 257-2530</t>
  </si>
  <si>
    <t>(834) 971-5240</t>
  </si>
  <si>
    <t>(707) 279-5282</t>
  </si>
  <si>
    <t>(934) 362-5596</t>
  </si>
  <si>
    <t>(336) 533-6650</t>
  </si>
  <si>
    <t>(375) 573-3606</t>
  </si>
  <si>
    <t>(944) 481-9531</t>
  </si>
  <si>
    <t>(466) 210-7434</t>
  </si>
  <si>
    <t>(832) 804-2690</t>
  </si>
  <si>
    <t>(347) 847-3387</t>
  </si>
  <si>
    <t>(301) 821-4226</t>
  </si>
  <si>
    <t>(462) 752-6248</t>
  </si>
  <si>
    <t>(400) 658-1904</t>
  </si>
  <si>
    <t>(596) 653-4507</t>
  </si>
  <si>
    <t>(519) 384-8287</t>
  </si>
  <si>
    <t>(896) 641-7976</t>
  </si>
  <si>
    <t>(288) 958-3534</t>
  </si>
  <si>
    <t>(871) 820-2589</t>
  </si>
  <si>
    <t>(303) 681-8666</t>
  </si>
  <si>
    <t>(385) 830-3297</t>
  </si>
  <si>
    <t>(971) 618-7510</t>
  </si>
  <si>
    <t>(851) 584-2900</t>
  </si>
  <si>
    <t>(247) 995-5965</t>
  </si>
  <si>
    <t>(998) 535-6878</t>
  </si>
  <si>
    <t>(350) 396-0627</t>
  </si>
  <si>
    <t>(770) 862-7445</t>
  </si>
  <si>
    <t>(786) 235-4329</t>
  </si>
  <si>
    <t>(300) 685-3494</t>
  </si>
  <si>
    <t>(226) 599-5111</t>
  </si>
  <si>
    <t>(560) 348-7975</t>
  </si>
  <si>
    <t>(693) 263-4900</t>
  </si>
  <si>
    <t>(546) 784-9818</t>
  </si>
  <si>
    <t>(212) 965-6554</t>
  </si>
  <si>
    <t>(889) 443-1755</t>
  </si>
  <si>
    <t>(848) 779-2483</t>
  </si>
  <si>
    <t>(805) 697-3346</t>
  </si>
  <si>
    <t>(913) 721-8266</t>
  </si>
  <si>
    <t>(282) 349-2003</t>
  </si>
  <si>
    <t>(963) 229-9721</t>
  </si>
  <si>
    <t>(546) 649-9186</t>
  </si>
  <si>
    <t>(790) 423-9896</t>
  </si>
  <si>
    <t>(402) 426-6854</t>
  </si>
  <si>
    <t>(258) 814-1284</t>
  </si>
  <si>
    <t>(832) 468-1526</t>
  </si>
  <si>
    <t>(587) 654-1459</t>
  </si>
  <si>
    <t>(786) 599-5695</t>
  </si>
  <si>
    <t>(673) 380-1953</t>
  </si>
  <si>
    <t>(787) 598-7416</t>
  </si>
  <si>
    <t>(252) 212-3211</t>
  </si>
  <si>
    <t>(458) 895-2442</t>
  </si>
  <si>
    <t>(901) 850-8259</t>
  </si>
  <si>
    <t>(625) 448-6097</t>
  </si>
  <si>
    <t>(556) 902-0359</t>
  </si>
  <si>
    <t>(419) 691-3967</t>
  </si>
  <si>
    <t>(299) 917-8437</t>
  </si>
  <si>
    <t>(568) 949-0998</t>
  </si>
  <si>
    <t>(377) 519-0306</t>
  </si>
  <si>
    <t>(266) 259-5870</t>
  </si>
  <si>
    <t>(399) 366-1808</t>
  </si>
  <si>
    <t>(494) 586-8976</t>
  </si>
  <si>
    <t>(255) 815-9078</t>
  </si>
  <si>
    <t>(727) 783-4000</t>
  </si>
  <si>
    <t>(848) 504-4182</t>
  </si>
  <si>
    <t>(746) 203-6657</t>
  </si>
  <si>
    <t>(865) 416-9258</t>
  </si>
  <si>
    <t>(965) 404-9334</t>
  </si>
  <si>
    <t>(928) 728-1293</t>
  </si>
  <si>
    <t>(979) 684-4030</t>
  </si>
  <si>
    <t>(667) 933-2880</t>
  </si>
  <si>
    <t>(569) 583-5618</t>
  </si>
  <si>
    <t>(553) 319-8193</t>
  </si>
  <si>
    <t>(216) 642-1783</t>
  </si>
  <si>
    <t>(758) 641-0007</t>
  </si>
  <si>
    <t>(647) 600-0763</t>
  </si>
  <si>
    <t>(389) 210-4301</t>
  </si>
  <si>
    <t>(559) 237-4254</t>
  </si>
  <si>
    <t>(425) 639-1001</t>
  </si>
  <si>
    <t>(912) 744-3841</t>
  </si>
  <si>
    <t>(420) 734-0267</t>
  </si>
  <si>
    <t>(642) 256-2742</t>
  </si>
  <si>
    <t>(440) 856-1816</t>
  </si>
  <si>
    <t>(236) 758-1959</t>
  </si>
  <si>
    <t>(454) 251-7217</t>
  </si>
  <si>
    <t>(554) 671-5835</t>
  </si>
  <si>
    <t>(796) 405-5951</t>
  </si>
  <si>
    <t>(355) 836-1997</t>
  </si>
  <si>
    <t>(286) 437-9985</t>
  </si>
  <si>
    <t>(728) 630-9093</t>
  </si>
  <si>
    <t>(375) 276-9555</t>
  </si>
  <si>
    <t>(303) 888-3580</t>
  </si>
  <si>
    <t>(620) 263-0937</t>
  </si>
  <si>
    <t>(285) 569-3815</t>
  </si>
  <si>
    <t>(933) 493-1296</t>
  </si>
  <si>
    <t>(984) 925-1479</t>
  </si>
  <si>
    <t>(745) 969-2385</t>
  </si>
  <si>
    <t>(385) 423-8512</t>
  </si>
  <si>
    <t>(541) 380-9655</t>
  </si>
  <si>
    <t>(499) 251-4292</t>
  </si>
  <si>
    <t>(889) 376-3128</t>
  </si>
  <si>
    <t>(899) 319-0739</t>
  </si>
  <si>
    <t>(799) 736-0563</t>
  </si>
  <si>
    <t>(897) 495-1662</t>
  </si>
  <si>
    <t>(744) 403-9916</t>
  </si>
  <si>
    <t>(936) 598-2906</t>
  </si>
  <si>
    <t>(469) 532-4548</t>
  </si>
  <si>
    <t>(947) 361-6058</t>
  </si>
  <si>
    <t>(949) 882-5871</t>
  </si>
  <si>
    <t>(305) 415-3051</t>
  </si>
  <si>
    <t>(828) 518-2220</t>
  </si>
  <si>
    <t>(723) 679-1851</t>
  </si>
  <si>
    <t>(274) 482-2742</t>
  </si>
  <si>
    <t>(596) 753-6330</t>
  </si>
  <si>
    <t>(493) 751-7562</t>
  </si>
  <si>
    <t>(804) 565-3963</t>
  </si>
  <si>
    <t>(857) 359-0241</t>
  </si>
  <si>
    <t>(680) 877-0373</t>
  </si>
  <si>
    <t>(644) 440-6033</t>
  </si>
  <si>
    <t>(788) 977-2844</t>
  </si>
  <si>
    <t>(244) 263-7499</t>
  </si>
  <si>
    <t>(837) 287-6032</t>
  </si>
  <si>
    <t>(212) 363-5006</t>
  </si>
  <si>
    <t>(315) 840-0702</t>
  </si>
  <si>
    <t>(467) 358-4503</t>
  </si>
  <si>
    <t>(360) 620-0866</t>
  </si>
  <si>
    <t>(229) 275-5223</t>
  </si>
  <si>
    <t>(344) 778-8434</t>
  </si>
  <si>
    <t>(258) 518-2594</t>
  </si>
  <si>
    <t>(859) 270-2403</t>
  </si>
  <si>
    <t>(611) 486-5321</t>
  </si>
  <si>
    <t>(768) 652-3949</t>
  </si>
  <si>
    <t>(998) 487-9102</t>
  </si>
  <si>
    <t>(253) 321-2154</t>
  </si>
  <si>
    <t>(532) 409-6324</t>
  </si>
  <si>
    <t>(661) 728-1691</t>
  </si>
  <si>
    <t>(570) 540-0876</t>
  </si>
  <si>
    <t>(433) 516-7191</t>
  </si>
  <si>
    <t>(535) 857-6686</t>
  </si>
  <si>
    <t>(849) 782-9869</t>
  </si>
  <si>
    <t>(561) 625-6255</t>
  </si>
  <si>
    <t>(654) 705-7739</t>
  </si>
  <si>
    <t>(712) 820-6745</t>
  </si>
  <si>
    <t>(259) 838-4855</t>
  </si>
  <si>
    <t>(824) 717-6847</t>
  </si>
  <si>
    <t>(366) 665-1941</t>
  </si>
  <si>
    <t>(305) 495-3592</t>
  </si>
  <si>
    <t>(602) 659-7572</t>
  </si>
  <si>
    <t>(689) 239-4563</t>
  </si>
  <si>
    <t>(207) 205-4139</t>
  </si>
  <si>
    <t>(516) 973-1052</t>
  </si>
  <si>
    <t>(556) 265-3355</t>
  </si>
  <si>
    <t>(630) 838-5414</t>
  </si>
  <si>
    <t>(762) 570-3297</t>
  </si>
  <si>
    <t>(283) 766-9356</t>
  </si>
  <si>
    <t>(750) 486-9536</t>
  </si>
  <si>
    <t>(619) 353-7970</t>
  </si>
  <si>
    <t>(961) 219-0829</t>
  </si>
  <si>
    <t>(209) 879-1264</t>
  </si>
  <si>
    <t>(332) 532-0822</t>
  </si>
  <si>
    <t>(487) 640-6779</t>
  </si>
  <si>
    <t>(536) 366-2187</t>
  </si>
  <si>
    <t>(363) 544-2841</t>
  </si>
  <si>
    <t>(461) 271-1631</t>
  </si>
  <si>
    <t>(857) 335-5320</t>
  </si>
  <si>
    <t>(634) 371-1153</t>
  </si>
  <si>
    <t>(439) 244-2458</t>
  </si>
  <si>
    <t>(320) 535-5081</t>
  </si>
  <si>
    <t>(993) 964-1956</t>
  </si>
  <si>
    <t>(748) 245-9826</t>
  </si>
  <si>
    <t>(381) 532-2238</t>
  </si>
  <si>
    <t>(907) 754-8902</t>
  </si>
  <si>
    <t>(531) 907-4416</t>
  </si>
  <si>
    <t>(572) 498-8666</t>
  </si>
  <si>
    <t>(716) 425-2898</t>
  </si>
  <si>
    <t>(762) 419-8629</t>
  </si>
  <si>
    <t>(280) 675-9489</t>
  </si>
  <si>
    <t>(634) 550-6646</t>
  </si>
  <si>
    <t>(527) 606-6801</t>
  </si>
  <si>
    <t>(465) 963-8317</t>
  </si>
  <si>
    <t>(659) 984-6638</t>
  </si>
  <si>
    <t>(962) 381-3510</t>
  </si>
  <si>
    <t>(576) 978-9774</t>
  </si>
  <si>
    <t>(721) 881-8367</t>
  </si>
  <si>
    <t>(812) 855-9668</t>
  </si>
  <si>
    <t>(819) 268-2557</t>
  </si>
  <si>
    <t>(398) 878-0122</t>
  </si>
  <si>
    <t>(301) 631-9640</t>
  </si>
  <si>
    <t>(891) 535-5328</t>
  </si>
  <si>
    <t>(576) 200-5761</t>
  </si>
  <si>
    <t>(654) 407-4012</t>
  </si>
  <si>
    <t>(599) 743-9003</t>
  </si>
  <si>
    <t>(240) 906-5404</t>
  </si>
  <si>
    <t>(455) 626-4301</t>
  </si>
  <si>
    <t>(493) 311-8669</t>
  </si>
  <si>
    <t>(758) 602-4935</t>
  </si>
  <si>
    <t>(390) 779-8899</t>
  </si>
  <si>
    <t>(487) 438-4975</t>
  </si>
  <si>
    <t>(659) 904-0068</t>
  </si>
  <si>
    <t>(721) 772-9718</t>
  </si>
  <si>
    <t>(471) 210-6992</t>
  </si>
  <si>
    <t>(435) 955-2960</t>
  </si>
  <si>
    <t>(323) 803-5626</t>
  </si>
  <si>
    <t>(507) 934-7625</t>
  </si>
  <si>
    <t>(532) 766-7644</t>
  </si>
  <si>
    <t>(772) 757-3738</t>
  </si>
  <si>
    <t>(887) 277-6652</t>
  </si>
  <si>
    <t>(725) 408-3080</t>
  </si>
  <si>
    <t>(845) 673-0453</t>
  </si>
  <si>
    <t>(962) 741-6475</t>
  </si>
  <si>
    <t>(396) 942-3896</t>
  </si>
  <si>
    <t>(672) 429-8285</t>
  </si>
  <si>
    <t>(524) 528-5199</t>
  </si>
  <si>
    <t>(422) 560-9699</t>
  </si>
  <si>
    <t>(879) 980-7282</t>
  </si>
  <si>
    <t>(372) 654-9387</t>
  </si>
  <si>
    <t>(933) 613-2582</t>
  </si>
  <si>
    <t>(365) 278-8056</t>
  </si>
  <si>
    <t>(588) 897-0633</t>
  </si>
  <si>
    <t>(303) 754-3969</t>
  </si>
  <si>
    <t>(311) 963-9615</t>
  </si>
  <si>
    <t>(777) 720-1143</t>
  </si>
  <si>
    <t>(741) 758-2688</t>
  </si>
  <si>
    <t>(802) 484-9409</t>
  </si>
  <si>
    <t>(641) 921-8831</t>
  </si>
  <si>
    <t>(954) 421-2884</t>
  </si>
  <si>
    <t>(954) 956-0103</t>
  </si>
  <si>
    <t>(295) 983-4853</t>
  </si>
  <si>
    <t>(253) 483-2574</t>
  </si>
  <si>
    <t>(244) 616-3629</t>
  </si>
  <si>
    <t>(586) 717-5632</t>
  </si>
  <si>
    <t>(890) 780-5763</t>
  </si>
  <si>
    <t>(958) 671-5221</t>
  </si>
  <si>
    <t>(203) 272-8879</t>
  </si>
  <si>
    <t>(412) 374-4809</t>
  </si>
  <si>
    <t>(700) 831-5400</t>
  </si>
  <si>
    <t>(536) 847-4736</t>
  </si>
  <si>
    <t>(853) 399-2912</t>
  </si>
  <si>
    <t>(719) 895-4064</t>
  </si>
  <si>
    <t>(579) 455-3524</t>
  </si>
  <si>
    <t>(952) 284-4700</t>
  </si>
  <si>
    <t>(819) 878-4303</t>
  </si>
  <si>
    <t>(467) 290-0508</t>
  </si>
  <si>
    <t>(590) 409-5907</t>
  </si>
  <si>
    <t>(266) 570-8715</t>
  </si>
  <si>
    <t>(471) 733-8756</t>
  </si>
  <si>
    <t>(616) 501-9475</t>
  </si>
  <si>
    <t>(814) 815-8592</t>
  </si>
  <si>
    <t>(628) 340-8842</t>
  </si>
  <si>
    <t>(994) 397-7201</t>
  </si>
  <si>
    <t>(644) 968-4427</t>
  </si>
  <si>
    <t>(549) 850-2390</t>
  </si>
  <si>
    <t>(506) 841-6393</t>
  </si>
  <si>
    <t>(340) 492-0275</t>
  </si>
  <si>
    <t>(383) 357-1843</t>
  </si>
  <si>
    <t>(405) 559-9778</t>
  </si>
  <si>
    <t>(268) 398-7609</t>
  </si>
  <si>
    <t>(310) 577-6728</t>
  </si>
  <si>
    <t>(811) 765-3302</t>
  </si>
  <si>
    <t>(403) 928-7118</t>
  </si>
  <si>
    <t>(607) 905-6893</t>
  </si>
  <si>
    <t>(384) 958-4888</t>
  </si>
  <si>
    <t>(324) 284-9902</t>
  </si>
  <si>
    <t>(836) 752-4390</t>
  </si>
  <si>
    <t>(574) 870-1271</t>
  </si>
  <si>
    <t>(422) 535-5367</t>
  </si>
  <si>
    <t>(415) 828-3663</t>
  </si>
  <si>
    <t>(415) 947-3697</t>
  </si>
  <si>
    <t>(655) 247-5450</t>
  </si>
  <si>
    <t>(726) 230-1885</t>
  </si>
  <si>
    <t>(301) 446-4931</t>
  </si>
  <si>
    <t>(205) 948-8280</t>
  </si>
  <si>
    <t>(216) 341-9188</t>
  </si>
  <si>
    <t>(922) 668-4401</t>
  </si>
  <si>
    <t>(929) 916-9742</t>
  </si>
  <si>
    <t>(294) 465-2217</t>
  </si>
  <si>
    <t>(358) 731-3798</t>
  </si>
  <si>
    <t>(352) 604-1886</t>
  </si>
  <si>
    <t>(316) 723-5488</t>
  </si>
  <si>
    <t>(900) 365-3438</t>
  </si>
  <si>
    <t>(232) 995-8639</t>
  </si>
  <si>
    <t>(713) 359-4317</t>
  </si>
  <si>
    <t>(206) 847-8774</t>
  </si>
  <si>
    <t>(411) 376-4315</t>
  </si>
  <si>
    <t>(938) 721-2256</t>
  </si>
  <si>
    <t>(419) 442-9188</t>
  </si>
  <si>
    <t>(763) 952-1502</t>
  </si>
  <si>
    <t>(723) 961-1436</t>
  </si>
  <si>
    <t>(233) 477-9648</t>
  </si>
  <si>
    <t>(347) 835-6563</t>
  </si>
  <si>
    <t>(732) 949-7420</t>
  </si>
  <si>
    <t>(334) 788-2547</t>
  </si>
  <si>
    <t>(355) 952-4381</t>
  </si>
  <si>
    <t>(875) 650-4506</t>
  </si>
  <si>
    <t>(650) 311-4823</t>
  </si>
  <si>
    <t>(944) 439-2624</t>
  </si>
  <si>
    <t>(283) 827-0141</t>
  </si>
  <si>
    <t>(975) 594-0844</t>
  </si>
  <si>
    <t>(990) 738-6040</t>
  </si>
  <si>
    <t>(770) 545-8863</t>
  </si>
  <si>
    <t>(334) 305-7194</t>
  </si>
  <si>
    <t>(602) 467-4837</t>
  </si>
  <si>
    <t>(939) 500-3265</t>
  </si>
  <si>
    <t>(987) 536-2384</t>
  </si>
  <si>
    <t>(730) 738-3338</t>
  </si>
  <si>
    <t>(330) 201-7051</t>
  </si>
  <si>
    <t>(932) 338-3282</t>
  </si>
  <si>
    <t>(878) 237-0878</t>
  </si>
  <si>
    <t>(403) 429-9891</t>
  </si>
  <si>
    <t>(705) 444-0556</t>
  </si>
  <si>
    <t>(879) 591-2306</t>
  </si>
  <si>
    <t>(467) 399-9709</t>
  </si>
  <si>
    <t>(744) 598-1150</t>
  </si>
  <si>
    <t>(857) 769-7335</t>
  </si>
  <si>
    <t>(894) 916-8764</t>
  </si>
  <si>
    <t>(546) 437-8882</t>
  </si>
  <si>
    <t>(928) 743-6374</t>
  </si>
  <si>
    <t>(751) 725-0334</t>
  </si>
  <si>
    <t>(453) 596-2200</t>
  </si>
  <si>
    <t>(623) 788-7862</t>
  </si>
  <si>
    <t>(920) 438-1880</t>
  </si>
  <si>
    <t>(752) 297-5212</t>
  </si>
  <si>
    <t>(693) 681-7202</t>
  </si>
  <si>
    <t>(455) 437-3253</t>
  </si>
  <si>
    <t>(212) 757-8062</t>
  </si>
  <si>
    <t>(904) 210-8504</t>
  </si>
  <si>
    <t>(203) 626-2113</t>
  </si>
  <si>
    <t>(671) 220-0042</t>
  </si>
  <si>
    <t>(547) 966-8598</t>
  </si>
  <si>
    <t>(623) 913-9558</t>
  </si>
  <si>
    <t>(715) 291-1286</t>
  </si>
  <si>
    <t>(354) 237-3268</t>
  </si>
  <si>
    <t>(269) 935-1685</t>
  </si>
  <si>
    <t>(646) 203-3225</t>
  </si>
  <si>
    <t>(806) 938-4587</t>
  </si>
  <si>
    <t>(633) 955-6590</t>
  </si>
  <si>
    <t>(987) 947-7889</t>
  </si>
  <si>
    <t>(946) 604-6365</t>
  </si>
  <si>
    <t>(696) 763-2316</t>
  </si>
  <si>
    <t>(461) 831-9487</t>
  </si>
  <si>
    <t>(695) 531-1875</t>
  </si>
  <si>
    <t>(936) 854-3061</t>
  </si>
  <si>
    <t>(691) 840-0840</t>
  </si>
  <si>
    <t>(810) 733-6823</t>
  </si>
  <si>
    <t>(392) 721-3723</t>
  </si>
  <si>
    <t>(244) 975-9008</t>
  </si>
  <si>
    <t>(574) 310-1480</t>
  </si>
  <si>
    <t>(562) 687-6697</t>
  </si>
  <si>
    <t>(362) 958-3945</t>
  </si>
  <si>
    <t>(425) 692-2477</t>
  </si>
  <si>
    <t>(844) 204-7819</t>
  </si>
  <si>
    <t>(707) 398-6865</t>
  </si>
  <si>
    <t>(469) 519-2773</t>
  </si>
  <si>
    <t>(592) 732-7144</t>
  </si>
  <si>
    <t>(602) 356-3808</t>
  </si>
  <si>
    <t>(640) 568-0785</t>
  </si>
  <si>
    <t>(400) 512-4755</t>
  </si>
  <si>
    <t>(415) 935-8378</t>
  </si>
  <si>
    <t>(664) 297-3908</t>
  </si>
  <si>
    <t>(843) 208-4225</t>
  </si>
  <si>
    <t>(336) 204-3889</t>
  </si>
  <si>
    <t>(911) 488-1913</t>
  </si>
  <si>
    <t>(535) 815-9607</t>
  </si>
  <si>
    <t>(295) 730-6919</t>
  </si>
  <si>
    <t>(743) 483-8112</t>
  </si>
  <si>
    <t>(831) 249-5449</t>
  </si>
  <si>
    <t>(960) 905-6170</t>
  </si>
  <si>
    <t>(214) 703-7189</t>
  </si>
  <si>
    <t>(944) 933-0069</t>
  </si>
  <si>
    <t>(429) 932-6260</t>
  </si>
  <si>
    <t>(922) 644-8881</t>
  </si>
  <si>
    <t>(405) 986-6020</t>
  </si>
  <si>
    <t>(890) 409-6135</t>
  </si>
  <si>
    <t>(252) 913-1668</t>
  </si>
  <si>
    <t>(622) 688-5821</t>
  </si>
  <si>
    <t>(255) 804-7439</t>
  </si>
  <si>
    <t>(815) 908-2066</t>
  </si>
  <si>
    <t>(601) 823-1097</t>
  </si>
  <si>
    <t>(297) 326-4044</t>
  </si>
  <si>
    <t>(952) 610-9397</t>
  </si>
  <si>
    <t>(773) 942-8792</t>
  </si>
  <si>
    <t>(516) 557-3412</t>
  </si>
  <si>
    <t>(921) 425-7436</t>
  </si>
  <si>
    <t>(689) 655-6058</t>
  </si>
  <si>
    <t>(671) 524-5360</t>
  </si>
  <si>
    <t>(910) 903-9965</t>
  </si>
  <si>
    <t>(904) 731-9687</t>
  </si>
  <si>
    <t>(455) 701-2540</t>
  </si>
  <si>
    <t>(864) 567-3221</t>
  </si>
  <si>
    <t>(241) 803-9393</t>
  </si>
  <si>
    <t>(237) 839-2784</t>
  </si>
  <si>
    <t>(362) 504-0521</t>
  </si>
  <si>
    <t>(205) 311-7938</t>
  </si>
  <si>
    <t>(459) 473-8039</t>
  </si>
  <si>
    <t>(956) 901-0189</t>
  </si>
  <si>
    <t>(289) 371-6935</t>
  </si>
  <si>
    <t>(534) 741-5424</t>
  </si>
  <si>
    <t>(562) 803-1918</t>
  </si>
  <si>
    <t>(703) 578-2309</t>
  </si>
  <si>
    <t>(394) 282-3814</t>
  </si>
  <si>
    <t>(733) 346-2538</t>
  </si>
  <si>
    <t>(350) 800-2197</t>
  </si>
  <si>
    <t>(853) 698-8173</t>
  </si>
  <si>
    <t>(946) 694-2288</t>
  </si>
  <si>
    <t>(718) 641-6619</t>
  </si>
  <si>
    <t>(352) 826-4955</t>
  </si>
  <si>
    <t>(473) 640-7258</t>
  </si>
  <si>
    <t>Teléfono</t>
  </si>
  <si>
    <t>Codigo</t>
  </si>
  <si>
    <t>GRUPOS</t>
  </si>
  <si>
    <t>Localidad</t>
  </si>
  <si>
    <t>CP</t>
  </si>
  <si>
    <t>C-0001</t>
  </si>
  <si>
    <t>C-0002</t>
  </si>
  <si>
    <t>C-0003</t>
  </si>
  <si>
    <t>C-0004</t>
  </si>
  <si>
    <t>C-0005</t>
  </si>
  <si>
    <t>C-0006</t>
  </si>
  <si>
    <t>C-0007</t>
  </si>
  <si>
    <t>C-0008</t>
  </si>
  <si>
    <t>C-0009</t>
  </si>
  <si>
    <t>C-0010</t>
  </si>
  <si>
    <t>C-0011</t>
  </si>
  <si>
    <t>C-0012</t>
  </si>
  <si>
    <t>C-0013</t>
  </si>
  <si>
    <t>C-0014</t>
  </si>
  <si>
    <t>C-0015</t>
  </si>
  <si>
    <t>C-0016</t>
  </si>
  <si>
    <t>C-0017</t>
  </si>
  <si>
    <t>C-0018</t>
  </si>
  <si>
    <t>C-0019</t>
  </si>
  <si>
    <t>C-0020</t>
  </si>
  <si>
    <t>C-0021</t>
  </si>
  <si>
    <t>C-0022</t>
  </si>
  <si>
    <t>C-0023</t>
  </si>
  <si>
    <t>C-0024</t>
  </si>
  <si>
    <t>C-0025</t>
  </si>
  <si>
    <t>C-0026</t>
  </si>
  <si>
    <t>C-0027</t>
  </si>
  <si>
    <t>C-0028</t>
  </si>
  <si>
    <t>C-0029</t>
  </si>
  <si>
    <t>C-0030</t>
  </si>
  <si>
    <t>C-0031</t>
  </si>
  <si>
    <t>C-0032</t>
  </si>
  <si>
    <t>C-0033</t>
  </si>
  <si>
    <t>C-0034</t>
  </si>
  <si>
    <t>C-0035</t>
  </si>
  <si>
    <t>C-0036</t>
  </si>
  <si>
    <t>C-0037</t>
  </si>
  <si>
    <t>C-0038</t>
  </si>
  <si>
    <t>C-0039</t>
  </si>
  <si>
    <t>C-0040</t>
  </si>
  <si>
    <t>C-0041</t>
  </si>
  <si>
    <t>C-0042</t>
  </si>
  <si>
    <t>C-0043</t>
  </si>
  <si>
    <t>C-0044</t>
  </si>
  <si>
    <t>C-0045</t>
  </si>
  <si>
    <t>C-0046</t>
  </si>
  <si>
    <t>C-0047</t>
  </si>
  <si>
    <t>C-0048</t>
  </si>
  <si>
    <t>C-0049</t>
  </si>
  <si>
    <t>C-0050</t>
  </si>
  <si>
    <t>C-0051</t>
  </si>
  <si>
    <t>C-0052</t>
  </si>
  <si>
    <t>C-0053</t>
  </si>
  <si>
    <t>C-0054</t>
  </si>
  <si>
    <t>C-0055</t>
  </si>
  <si>
    <t>C-0056</t>
  </si>
  <si>
    <t>C-0057</t>
  </si>
  <si>
    <t>C-0058</t>
  </si>
  <si>
    <t>C-0059</t>
  </si>
  <si>
    <t>C-0060</t>
  </si>
  <si>
    <t>C-0061</t>
  </si>
  <si>
    <t>C-0062</t>
  </si>
  <si>
    <t>C-0063</t>
  </si>
  <si>
    <t>C-0064</t>
  </si>
  <si>
    <t>C-0065</t>
  </si>
  <si>
    <t>C-0066</t>
  </si>
  <si>
    <t>C-0067</t>
  </si>
  <si>
    <t>C-0068</t>
  </si>
  <si>
    <t>C-0069</t>
  </si>
  <si>
    <t>C-0070</t>
  </si>
  <si>
    <t>C-0071</t>
  </si>
  <si>
    <t>C-0072</t>
  </si>
  <si>
    <t>C-0073</t>
  </si>
  <si>
    <t>C-0074</t>
  </si>
  <si>
    <t>C-0075</t>
  </si>
  <si>
    <t>C-0076</t>
  </si>
  <si>
    <t>C-0077</t>
  </si>
  <si>
    <t>C-0078</t>
  </si>
  <si>
    <t>C-0079</t>
  </si>
  <si>
    <t>C-0080</t>
  </si>
  <si>
    <t>C-0081</t>
  </si>
  <si>
    <t>C-0082</t>
  </si>
  <si>
    <t>C-0083</t>
  </si>
  <si>
    <t>C-0084</t>
  </si>
  <si>
    <t>C-0085</t>
  </si>
  <si>
    <t>C-0086</t>
  </si>
  <si>
    <t>C-0087</t>
  </si>
  <si>
    <t>C-0088</t>
  </si>
  <si>
    <t>C-0089</t>
  </si>
  <si>
    <t>C-0090</t>
  </si>
  <si>
    <t>C-0091</t>
  </si>
  <si>
    <t>C-0092</t>
  </si>
  <si>
    <t>C-0093</t>
  </si>
  <si>
    <t>C-0094</t>
  </si>
  <si>
    <t>C-0095</t>
  </si>
  <si>
    <t>C-0096</t>
  </si>
  <si>
    <t>C-0097</t>
  </si>
  <si>
    <t>C-0098</t>
  </si>
  <si>
    <t>C-0099</t>
  </si>
  <si>
    <t>C-0100</t>
  </si>
  <si>
    <t>C-0101</t>
  </si>
  <si>
    <t>C-0102</t>
  </si>
  <si>
    <t>C-0103</t>
  </si>
  <si>
    <t>C-0104</t>
  </si>
  <si>
    <t>C-0105</t>
  </si>
  <si>
    <t>C-0106</t>
  </si>
  <si>
    <t>C-0107</t>
  </si>
  <si>
    <t>C-0108</t>
  </si>
  <si>
    <t>C-0109</t>
  </si>
  <si>
    <t>C-0110</t>
  </si>
  <si>
    <t>C-0111</t>
  </si>
  <si>
    <t>C-0112</t>
  </si>
  <si>
    <t>C-0113</t>
  </si>
  <si>
    <t>C-0114</t>
  </si>
  <si>
    <t>C-0115</t>
  </si>
  <si>
    <t>C-0116</t>
  </si>
  <si>
    <t>C-0117</t>
  </si>
  <si>
    <t>C-0118</t>
  </si>
  <si>
    <t>C-0119</t>
  </si>
  <si>
    <t>C-0120</t>
  </si>
  <si>
    <t>C-0121</t>
  </si>
  <si>
    <t>C-0122</t>
  </si>
  <si>
    <t>C-0123</t>
  </si>
  <si>
    <t>C-0124</t>
  </si>
  <si>
    <t>C-0125</t>
  </si>
  <si>
    <t>C-0126</t>
  </si>
  <si>
    <t>C-0127</t>
  </si>
  <si>
    <t>C-0128</t>
  </si>
  <si>
    <t>C-0129</t>
  </si>
  <si>
    <t>C-0130</t>
  </si>
  <si>
    <t>C-0131</t>
  </si>
  <si>
    <t>C-0132</t>
  </si>
  <si>
    <t>C-0133</t>
  </si>
  <si>
    <t>C-0134</t>
  </si>
  <si>
    <t>C-0135</t>
  </si>
  <si>
    <t>C-0136</t>
  </si>
  <si>
    <t>C-0137</t>
  </si>
  <si>
    <t>C-0138</t>
  </si>
  <si>
    <t>C-0139</t>
  </si>
  <si>
    <t>C-0140</t>
  </si>
  <si>
    <t>C-0141</t>
  </si>
  <si>
    <t>C-0142</t>
  </si>
  <si>
    <t>C-0143</t>
  </si>
  <si>
    <t>C-0144</t>
  </si>
  <si>
    <t>C-0145</t>
  </si>
  <si>
    <t>C-0146</t>
  </si>
  <si>
    <t>C-0147</t>
  </si>
  <si>
    <t>C-0148</t>
  </si>
  <si>
    <t>C-0149</t>
  </si>
  <si>
    <t>C-0150</t>
  </si>
  <si>
    <t>C-0151</t>
  </si>
  <si>
    <t>C-0152</t>
  </si>
  <si>
    <t>C-0153</t>
  </si>
  <si>
    <t>C-0154</t>
  </si>
  <si>
    <t>C-0155</t>
  </si>
  <si>
    <t>C-0156</t>
  </si>
  <si>
    <t>C-0157</t>
  </si>
  <si>
    <t>C-0158</t>
  </si>
  <si>
    <t>C-0159</t>
  </si>
  <si>
    <t>C-0160</t>
  </si>
  <si>
    <t>C-0161</t>
  </si>
  <si>
    <t>C-0162</t>
  </si>
  <si>
    <t>C-0163</t>
  </si>
  <si>
    <t>C-0164</t>
  </si>
  <si>
    <t>C-0165</t>
  </si>
  <si>
    <t>C-0166</t>
  </si>
  <si>
    <t>C-0167</t>
  </si>
  <si>
    <t>C-0168</t>
  </si>
  <si>
    <t>C-0169</t>
  </si>
  <si>
    <t>C-0170</t>
  </si>
  <si>
    <t>C-0171</t>
  </si>
  <si>
    <t>C-0172</t>
  </si>
  <si>
    <t>C-0173</t>
  </si>
  <si>
    <t>C-0174</t>
  </si>
  <si>
    <t>C-0175</t>
  </si>
  <si>
    <t>C-0176</t>
  </si>
  <si>
    <t>C-0177</t>
  </si>
  <si>
    <t>C-0178</t>
  </si>
  <si>
    <t>C-0179</t>
  </si>
  <si>
    <t>C-0180</t>
  </si>
  <si>
    <t>C-0181</t>
  </si>
  <si>
    <t>C-0182</t>
  </si>
  <si>
    <t>C-0183</t>
  </si>
  <si>
    <t>C-0184</t>
  </si>
  <si>
    <t>C-0185</t>
  </si>
  <si>
    <t>C-0186</t>
  </si>
  <si>
    <t>C-0187</t>
  </si>
  <si>
    <t>C-0188</t>
  </si>
  <si>
    <t>C-0189</t>
  </si>
  <si>
    <t>C-0190</t>
  </si>
  <si>
    <t>C-0191</t>
  </si>
  <si>
    <t>C-0192</t>
  </si>
  <si>
    <t>C-0193</t>
  </si>
  <si>
    <t>C-0194</t>
  </si>
  <si>
    <t>C-0195</t>
  </si>
  <si>
    <t>C-0196</t>
  </si>
  <si>
    <t>C-0197</t>
  </si>
  <si>
    <t>C-0198</t>
  </si>
  <si>
    <t>C-0199</t>
  </si>
  <si>
    <t>C-0200</t>
  </si>
  <si>
    <t>C-0201</t>
  </si>
  <si>
    <t>C-0202</t>
  </si>
  <si>
    <t>C-0203</t>
  </si>
  <si>
    <t>C-0204</t>
  </si>
  <si>
    <t>C-0205</t>
  </si>
  <si>
    <t>C-0206</t>
  </si>
  <si>
    <t>C-0207</t>
  </si>
  <si>
    <t>C-0208</t>
  </si>
  <si>
    <t>C-0209</t>
  </si>
  <si>
    <t>C-0210</t>
  </si>
  <si>
    <t>C-0211</t>
  </si>
  <si>
    <t>C-0212</t>
  </si>
  <si>
    <t>C-0213</t>
  </si>
  <si>
    <t>C-0214</t>
  </si>
  <si>
    <t>C-0215</t>
  </si>
  <si>
    <t>C-0216</t>
  </si>
  <si>
    <t>C-0217</t>
  </si>
  <si>
    <t>C-0218</t>
  </si>
  <si>
    <t>C-0219</t>
  </si>
  <si>
    <t>C-0220</t>
  </si>
  <si>
    <t>C-0221</t>
  </si>
  <si>
    <t>C-0222</t>
  </si>
  <si>
    <t>C-0223</t>
  </si>
  <si>
    <t>C-0224</t>
  </si>
  <si>
    <t>C-0225</t>
  </si>
  <si>
    <t>C-0226</t>
  </si>
  <si>
    <t>C-0227</t>
  </si>
  <si>
    <t>C-0228</t>
  </si>
  <si>
    <t>C-0229</t>
  </si>
  <si>
    <t>C-0230</t>
  </si>
  <si>
    <t>C-0231</t>
  </si>
  <si>
    <t>C-0232</t>
  </si>
  <si>
    <t>C-0233</t>
  </si>
  <si>
    <t>C-0234</t>
  </si>
  <si>
    <t>C-0235</t>
  </si>
  <si>
    <t>C-0236</t>
  </si>
  <si>
    <t>C-0237</t>
  </si>
  <si>
    <t>C-0238</t>
  </si>
  <si>
    <t>C-0239</t>
  </si>
  <si>
    <t>C-0240</t>
  </si>
  <si>
    <t>C-0241</t>
  </si>
  <si>
    <t>C-0242</t>
  </si>
  <si>
    <t>C-0243</t>
  </si>
  <si>
    <t>C-0244</t>
  </si>
  <si>
    <t>C-0245</t>
  </si>
  <si>
    <t>C-0246</t>
  </si>
  <si>
    <t>C-0247</t>
  </si>
  <si>
    <t>C-0248</t>
  </si>
  <si>
    <t>C-0249</t>
  </si>
  <si>
    <t>C-0250</t>
  </si>
  <si>
    <t>C-0251</t>
  </si>
  <si>
    <t>C-0252</t>
  </si>
  <si>
    <t>C-0253</t>
  </si>
  <si>
    <t>C-0254</t>
  </si>
  <si>
    <t>C-0255</t>
  </si>
  <si>
    <t>C-0256</t>
  </si>
  <si>
    <t>C-0257</t>
  </si>
  <si>
    <t>C-0258</t>
  </si>
  <si>
    <t>C-0259</t>
  </si>
  <si>
    <t>C-0260</t>
  </si>
  <si>
    <t>C-0261</t>
  </si>
  <si>
    <t>C-0262</t>
  </si>
  <si>
    <t>C-0263</t>
  </si>
  <si>
    <t>C-0264</t>
  </si>
  <si>
    <t>C-0265</t>
  </si>
  <si>
    <t>C-0266</t>
  </si>
  <si>
    <t>C-0267</t>
  </si>
  <si>
    <t>C-0268</t>
  </si>
  <si>
    <t>C-0269</t>
  </si>
  <si>
    <t>C-0270</t>
  </si>
  <si>
    <t>C-0271</t>
  </si>
  <si>
    <t>C-0272</t>
  </si>
  <si>
    <t>C-0273</t>
  </si>
  <si>
    <t>C-0274</t>
  </si>
  <si>
    <t>C-0275</t>
  </si>
  <si>
    <t>C-0276</t>
  </si>
  <si>
    <t>C-0277</t>
  </si>
  <si>
    <t>C-0278</t>
  </si>
  <si>
    <t>C-0279</t>
  </si>
  <si>
    <t>C-0280</t>
  </si>
  <si>
    <t>C-0281</t>
  </si>
  <si>
    <t>C-0282</t>
  </si>
  <si>
    <t>C-0283</t>
  </si>
  <si>
    <t>C-0284</t>
  </si>
  <si>
    <t>C-0285</t>
  </si>
  <si>
    <t>C-0286</t>
  </si>
  <si>
    <t>C-0287</t>
  </si>
  <si>
    <t>C-0288</t>
  </si>
  <si>
    <t>C-0289</t>
  </si>
  <si>
    <t>C-0290</t>
  </si>
  <si>
    <t>C-0291</t>
  </si>
  <si>
    <t>C-0292</t>
  </si>
  <si>
    <t>C-0293</t>
  </si>
  <si>
    <t>C-0294</t>
  </si>
  <si>
    <t>C-0295</t>
  </si>
  <si>
    <t>C-0296</t>
  </si>
  <si>
    <t>C-0297</t>
  </si>
  <si>
    <t>C-0298</t>
  </si>
  <si>
    <t>C-0299</t>
  </si>
  <si>
    <t>C-0300</t>
  </si>
  <si>
    <t>C-0301</t>
  </si>
  <si>
    <t>C-0302</t>
  </si>
  <si>
    <t>C-0303</t>
  </si>
  <si>
    <t>C-0304</t>
  </si>
  <si>
    <t>C-0305</t>
  </si>
  <si>
    <t>C-0306</t>
  </si>
  <si>
    <t>C-0307</t>
  </si>
  <si>
    <t>C-0308</t>
  </si>
  <si>
    <t>C-0309</t>
  </si>
  <si>
    <t>C-0310</t>
  </si>
  <si>
    <t>C-0311</t>
  </si>
  <si>
    <t>C-0312</t>
  </si>
  <si>
    <t>C-0313</t>
  </si>
  <si>
    <t>C-0314</t>
  </si>
  <si>
    <t>C-0315</t>
  </si>
  <si>
    <t>C-0316</t>
  </si>
  <si>
    <t>C-0317</t>
  </si>
  <si>
    <t>C-0318</t>
  </si>
  <si>
    <t>C-0319</t>
  </si>
  <si>
    <t>C-0320</t>
  </si>
  <si>
    <t>C-0321</t>
  </si>
  <si>
    <t>C-0322</t>
  </si>
  <si>
    <t>C-0323</t>
  </si>
  <si>
    <t>C-0324</t>
  </si>
  <si>
    <t>C-0325</t>
  </si>
  <si>
    <t>C-0326</t>
  </si>
  <si>
    <t>C-0327</t>
  </si>
  <si>
    <t>C-0328</t>
  </si>
  <si>
    <t>C-0329</t>
  </si>
  <si>
    <t>C-0330</t>
  </si>
  <si>
    <t>C-0331</t>
  </si>
  <si>
    <t>C-0332</t>
  </si>
  <si>
    <t>C-0333</t>
  </si>
  <si>
    <t>C-0334</t>
  </si>
  <si>
    <t>C-0335</t>
  </si>
  <si>
    <t>C-0336</t>
  </si>
  <si>
    <t>C-0337</t>
  </si>
  <si>
    <t>C-0338</t>
  </si>
  <si>
    <t>C-0339</t>
  </si>
  <si>
    <t>C-0340</t>
  </si>
  <si>
    <t>C-0341</t>
  </si>
  <si>
    <t>C-0342</t>
  </si>
  <si>
    <t>C-0343</t>
  </si>
  <si>
    <t>C-0344</t>
  </si>
  <si>
    <t>C-0345</t>
  </si>
  <si>
    <t>C-0346</t>
  </si>
  <si>
    <t>C-0347</t>
  </si>
  <si>
    <t>C-0348</t>
  </si>
  <si>
    <t>C-0349</t>
  </si>
  <si>
    <t>C-0350</t>
  </si>
  <si>
    <t>C-0351</t>
  </si>
  <si>
    <t>C-0352</t>
  </si>
  <si>
    <t>C-0353</t>
  </si>
  <si>
    <t>C-0354</t>
  </si>
  <si>
    <t>C-0355</t>
  </si>
  <si>
    <t>C-0356</t>
  </si>
  <si>
    <t>C-0357</t>
  </si>
  <si>
    <t>C-0358</t>
  </si>
  <si>
    <t>C-0359</t>
  </si>
  <si>
    <t>C-0360</t>
  </si>
  <si>
    <t>C-0361</t>
  </si>
  <si>
    <t>C-0362</t>
  </si>
  <si>
    <t>C-0363</t>
  </si>
  <si>
    <t>C-0364</t>
  </si>
  <si>
    <t>C-0365</t>
  </si>
  <si>
    <t>C-0366</t>
  </si>
  <si>
    <t>C-0367</t>
  </si>
  <si>
    <t>C-0368</t>
  </si>
  <si>
    <t>C-0369</t>
  </si>
  <si>
    <t>C-0370</t>
  </si>
  <si>
    <t>C-0371</t>
  </si>
  <si>
    <t>C-0372</t>
  </si>
  <si>
    <t>C-0373</t>
  </si>
  <si>
    <t>C-0374</t>
  </si>
  <si>
    <t>C-0375</t>
  </si>
  <si>
    <t>C-0376</t>
  </si>
  <si>
    <t>C-0377</t>
  </si>
  <si>
    <t>C-0378</t>
  </si>
  <si>
    <t>C-0379</t>
  </si>
  <si>
    <t>C-0380</t>
  </si>
  <si>
    <t>C-0381</t>
  </si>
  <si>
    <t>C-0382</t>
  </si>
  <si>
    <t>C-0383</t>
  </si>
  <si>
    <t>C-0384</t>
  </si>
  <si>
    <t>C-0385</t>
  </si>
  <si>
    <t>C-0386</t>
  </si>
  <si>
    <t>C-0387</t>
  </si>
  <si>
    <t>C-0388</t>
  </si>
  <si>
    <t>C-0389</t>
  </si>
  <si>
    <t>C-0390</t>
  </si>
  <si>
    <t>C-0391</t>
  </si>
  <si>
    <t>C-0392</t>
  </si>
  <si>
    <t>C-0393</t>
  </si>
  <si>
    <t>C-0394</t>
  </si>
  <si>
    <t>C-0395</t>
  </si>
  <si>
    <t>C-0396</t>
  </si>
  <si>
    <t>C-0397</t>
  </si>
  <si>
    <t>C-0398</t>
  </si>
  <si>
    <t>C-0399</t>
  </si>
  <si>
    <t>C-0400</t>
  </si>
  <si>
    <t>C-0401</t>
  </si>
  <si>
    <t>C-0402</t>
  </si>
  <si>
    <t>C-0403</t>
  </si>
  <si>
    <t>C-0404</t>
  </si>
  <si>
    <t>C-0405</t>
  </si>
  <si>
    <t>C-0406</t>
  </si>
  <si>
    <t>C-0407</t>
  </si>
  <si>
    <t>C-0408</t>
  </si>
  <si>
    <t>C-0409</t>
  </si>
  <si>
    <t>C-0410</t>
  </si>
  <si>
    <t>C-0411</t>
  </si>
  <si>
    <t>C-0412</t>
  </si>
  <si>
    <t>C-0413</t>
  </si>
  <si>
    <t>C-0414</t>
  </si>
  <si>
    <t>C-0415</t>
  </si>
  <si>
    <t>C-0416</t>
  </si>
  <si>
    <t>C-0417</t>
  </si>
  <si>
    <t>C-0418</t>
  </si>
  <si>
    <t>C-0419</t>
  </si>
  <si>
    <t>C-0420</t>
  </si>
  <si>
    <t>C-0421</t>
  </si>
  <si>
    <t>C-0422</t>
  </si>
  <si>
    <t>C-0423</t>
  </si>
  <si>
    <t>C-0424</t>
  </si>
  <si>
    <t>C-0425</t>
  </si>
  <si>
    <t>C-0426</t>
  </si>
  <si>
    <t>C-0427</t>
  </si>
  <si>
    <t>C-0428</t>
  </si>
  <si>
    <t>C-0429</t>
  </si>
  <si>
    <t>C-0430</t>
  </si>
  <si>
    <t>C-0431</t>
  </si>
  <si>
    <t>C-0432</t>
  </si>
  <si>
    <t>C-0433</t>
  </si>
  <si>
    <t>C-0434</t>
  </si>
  <si>
    <t>C-0435</t>
  </si>
  <si>
    <t>C-0436</t>
  </si>
  <si>
    <t>C-0437</t>
  </si>
  <si>
    <t>C-0438</t>
  </si>
  <si>
    <t>C-0439</t>
  </si>
  <si>
    <t>C-0440</t>
  </si>
  <si>
    <t>C-0441</t>
  </si>
  <si>
    <t>C-0442</t>
  </si>
  <si>
    <t>C-0443</t>
  </si>
  <si>
    <t>C-0444</t>
  </si>
  <si>
    <t>C-0445</t>
  </si>
  <si>
    <t>C-0446</t>
  </si>
  <si>
    <t>C-0447</t>
  </si>
  <si>
    <t>C-0448</t>
  </si>
  <si>
    <t>C-0449</t>
  </si>
  <si>
    <t>C-0450</t>
  </si>
  <si>
    <t>C-0451</t>
  </si>
  <si>
    <t>C-0452</t>
  </si>
  <si>
    <t>C-0453</t>
  </si>
  <si>
    <t>C-0454</t>
  </si>
  <si>
    <t>C-0455</t>
  </si>
  <si>
    <t>C-0456</t>
  </si>
  <si>
    <t>C-0457</t>
  </si>
  <si>
    <t>C-0458</t>
  </si>
  <si>
    <t>C-0459</t>
  </si>
  <si>
    <t>C-0460</t>
  </si>
  <si>
    <t>C-0461</t>
  </si>
  <si>
    <t>C-0462</t>
  </si>
  <si>
    <t>C-0463</t>
  </si>
  <si>
    <t>C-0464</t>
  </si>
  <si>
    <t>C-0465</t>
  </si>
  <si>
    <t>C-0466</t>
  </si>
  <si>
    <t>C-0467</t>
  </si>
  <si>
    <t>C-0468</t>
  </si>
  <si>
    <t>C-0469</t>
  </si>
  <si>
    <t>C-0470</t>
  </si>
  <si>
    <t>C-0471</t>
  </si>
  <si>
    <t>C-0472</t>
  </si>
  <si>
    <t>C-0473</t>
  </si>
  <si>
    <t>C-0474</t>
  </si>
  <si>
    <t>C-0475</t>
  </si>
  <si>
    <t>C-0476</t>
  </si>
  <si>
    <t>C-0477</t>
  </si>
  <si>
    <t>C-0478</t>
  </si>
  <si>
    <t>C-0479</t>
  </si>
  <si>
    <t>C-0480</t>
  </si>
  <si>
    <t>C-0481</t>
  </si>
  <si>
    <t>C-0482</t>
  </si>
  <si>
    <t>C-0483</t>
  </si>
  <si>
    <t>C-0484</t>
  </si>
  <si>
    <t>C-0485</t>
  </si>
  <si>
    <t>C-0486</t>
  </si>
  <si>
    <t>C-0487</t>
  </si>
  <si>
    <t>C-0488</t>
  </si>
  <si>
    <t>C-0489</t>
  </si>
  <si>
    <t>C-0490</t>
  </si>
  <si>
    <t>C-0491</t>
  </si>
  <si>
    <t>C-0492</t>
  </si>
  <si>
    <t>C-0493</t>
  </si>
  <si>
    <t>C-0494</t>
  </si>
  <si>
    <t>C-0495</t>
  </si>
  <si>
    <t>C-0496</t>
  </si>
  <si>
    <t>C-0497</t>
  </si>
  <si>
    <t>C-0498</t>
  </si>
  <si>
    <t>C-0499</t>
  </si>
  <si>
    <t>C-0500</t>
  </si>
  <si>
    <t>C-0501</t>
  </si>
  <si>
    <t>C-0502</t>
  </si>
  <si>
    <t>C-0503</t>
  </si>
  <si>
    <t>C-0504</t>
  </si>
  <si>
    <t>C-0505</t>
  </si>
  <si>
    <t>C-0506</t>
  </si>
  <si>
    <t>C-0507</t>
  </si>
  <si>
    <t>C-0508</t>
  </si>
  <si>
    <t>C-0509</t>
  </si>
  <si>
    <t>C-0510</t>
  </si>
  <si>
    <t>C-0511</t>
  </si>
  <si>
    <t>C-0512</t>
  </si>
  <si>
    <t>C-0513</t>
  </si>
  <si>
    <t>C-0514</t>
  </si>
  <si>
    <t>C-0515</t>
  </si>
  <si>
    <t>C-0516</t>
  </si>
  <si>
    <t>C-0517</t>
  </si>
  <si>
    <t>C-0518</t>
  </si>
  <si>
    <t>C-0519</t>
  </si>
  <si>
    <t>C-0520</t>
  </si>
  <si>
    <t>C-0521</t>
  </si>
  <si>
    <t>C-0522</t>
  </si>
  <si>
    <t>C-0523</t>
  </si>
  <si>
    <t>C-0524</t>
  </si>
  <si>
    <t>C-0525</t>
  </si>
  <si>
    <t>C-0526</t>
  </si>
  <si>
    <t>C-0527</t>
  </si>
  <si>
    <t>C-0528</t>
  </si>
  <si>
    <t>C-0529</t>
  </si>
  <si>
    <t>C-0530</t>
  </si>
  <si>
    <t>C-0531</t>
  </si>
  <si>
    <t>C-0532</t>
  </si>
  <si>
    <t>C-0533</t>
  </si>
  <si>
    <t>C-0534</t>
  </si>
  <si>
    <t>C-0535</t>
  </si>
  <si>
    <t>C-0536</t>
  </si>
  <si>
    <t>C-0537</t>
  </si>
  <si>
    <t>C-0538</t>
  </si>
  <si>
    <t>C-0539</t>
  </si>
  <si>
    <t>C-0540</t>
  </si>
  <si>
    <t>C-0541</t>
  </si>
  <si>
    <t>C-0542</t>
  </si>
  <si>
    <t>C-0543</t>
  </si>
  <si>
    <t>C-0544</t>
  </si>
  <si>
    <t>C-0545</t>
  </si>
  <si>
    <t>C-0546</t>
  </si>
  <si>
    <t>C-0547</t>
  </si>
  <si>
    <t>C-0548</t>
  </si>
  <si>
    <t>C-0549</t>
  </si>
  <si>
    <t>C-0550</t>
  </si>
  <si>
    <t>C-0551</t>
  </si>
  <si>
    <t>C-0552</t>
  </si>
  <si>
    <t>C-0553</t>
  </si>
  <si>
    <t>C-0554</t>
  </si>
  <si>
    <t>C-0555</t>
  </si>
  <si>
    <t>C-0556</t>
  </si>
  <si>
    <t>C-0557</t>
  </si>
  <si>
    <t>C-0558</t>
  </si>
  <si>
    <t>C-0559</t>
  </si>
  <si>
    <t>C-0560</t>
  </si>
  <si>
    <t>C-0561</t>
  </si>
  <si>
    <t>C-0562</t>
  </si>
  <si>
    <t>C-0563</t>
  </si>
  <si>
    <t>C-0564</t>
  </si>
  <si>
    <t>C-0565</t>
  </si>
  <si>
    <t>C-0566</t>
  </si>
  <si>
    <t>C-0567</t>
  </si>
  <si>
    <t>C-0568</t>
  </si>
  <si>
    <t>C-0569</t>
  </si>
  <si>
    <t>C-0570</t>
  </si>
  <si>
    <t>C-0571</t>
  </si>
  <si>
    <t>C-0572</t>
  </si>
  <si>
    <t>C-0573</t>
  </si>
  <si>
    <t>C-0574</t>
  </si>
  <si>
    <t>C-0575</t>
  </si>
  <si>
    <t>C-0576</t>
  </si>
  <si>
    <t>C-0577</t>
  </si>
  <si>
    <t>C-0578</t>
  </si>
  <si>
    <t>C-0579</t>
  </si>
  <si>
    <t>C-0580</t>
  </si>
  <si>
    <t>C-0581</t>
  </si>
  <si>
    <t>C-0582</t>
  </si>
  <si>
    <t>C-0583</t>
  </si>
  <si>
    <t>C-0584</t>
  </si>
  <si>
    <t>C-0585</t>
  </si>
  <si>
    <t>C-0586</t>
  </si>
  <si>
    <t>C-0587</t>
  </si>
  <si>
    <t>C-0588</t>
  </si>
  <si>
    <t>C-0589</t>
  </si>
  <si>
    <t>C-0590</t>
  </si>
  <si>
    <t>C-0591</t>
  </si>
  <si>
    <t>C-0592</t>
  </si>
  <si>
    <t>C-0593</t>
  </si>
  <si>
    <t>C-0594</t>
  </si>
  <si>
    <t>C-0595</t>
  </si>
  <si>
    <t>C-0596</t>
  </si>
  <si>
    <t>C-0597</t>
  </si>
  <si>
    <t>C-0598</t>
  </si>
  <si>
    <t>C-0599</t>
  </si>
  <si>
    <t>C-0600</t>
  </si>
  <si>
    <t>C-0601</t>
  </si>
  <si>
    <t>C-0602</t>
  </si>
  <si>
    <t>C-0603</t>
  </si>
  <si>
    <t>C-0604</t>
  </si>
  <si>
    <t>C-0605</t>
  </si>
  <si>
    <t>C-0606</t>
  </si>
  <si>
    <t>C-0607</t>
  </si>
  <si>
    <t>C-0608</t>
  </si>
  <si>
    <t>C-0609</t>
  </si>
  <si>
    <t>C-0610</t>
  </si>
  <si>
    <t>C-0611</t>
  </si>
  <si>
    <t>C-0612</t>
  </si>
  <si>
    <t>C-0613</t>
  </si>
  <si>
    <t>C-0614</t>
  </si>
  <si>
    <t>C-0615</t>
  </si>
  <si>
    <t>C-0616</t>
  </si>
  <si>
    <t>C-0617</t>
  </si>
  <si>
    <t>C-0618</t>
  </si>
  <si>
    <t>C-0619</t>
  </si>
  <si>
    <t>C-0620</t>
  </si>
  <si>
    <t>C-0621</t>
  </si>
  <si>
    <t>C-0622</t>
  </si>
  <si>
    <t>C-0623</t>
  </si>
  <si>
    <t>C-0624</t>
  </si>
  <si>
    <t>C-0625</t>
  </si>
  <si>
    <t>C-0626</t>
  </si>
  <si>
    <t>C-0627</t>
  </si>
  <si>
    <t>C-0628</t>
  </si>
  <si>
    <t>C-0629</t>
  </si>
  <si>
    <t>C-0630</t>
  </si>
  <si>
    <t>C-0631</t>
  </si>
  <si>
    <t>C-0632</t>
  </si>
  <si>
    <t>C-0633</t>
  </si>
  <si>
    <t>C-0634</t>
  </si>
  <si>
    <t>C-0635</t>
  </si>
  <si>
    <t>C-0636</t>
  </si>
  <si>
    <t>C-0637</t>
  </si>
  <si>
    <t>C-0638</t>
  </si>
  <si>
    <t>C-0639</t>
  </si>
  <si>
    <t>C-0640</t>
  </si>
  <si>
    <t>C-0641</t>
  </si>
  <si>
    <t>C-0642</t>
  </si>
  <si>
    <t>C-0643</t>
  </si>
  <si>
    <t>C-0644</t>
  </si>
  <si>
    <t>C-0645</t>
  </si>
  <si>
    <t>C-0646</t>
  </si>
  <si>
    <t>C-0647</t>
  </si>
  <si>
    <t>C-0648</t>
  </si>
  <si>
    <t>C-0649</t>
  </si>
  <si>
    <t>C-0650</t>
  </si>
  <si>
    <t>C-0651</t>
  </si>
  <si>
    <t>C-0652</t>
  </si>
  <si>
    <t>C-0653</t>
  </si>
  <si>
    <t>C-0654</t>
  </si>
  <si>
    <t>C-0655</t>
  </si>
  <si>
    <t>C-0656</t>
  </si>
  <si>
    <t>C-0657</t>
  </si>
  <si>
    <t>C-0658</t>
  </si>
  <si>
    <t>C-0659</t>
  </si>
  <si>
    <t>C-0660</t>
  </si>
  <si>
    <t>C-0661</t>
  </si>
  <si>
    <t>C-0662</t>
  </si>
  <si>
    <t>C-0663</t>
  </si>
  <si>
    <t>C-0664</t>
  </si>
  <si>
    <t>C-0665</t>
  </si>
  <si>
    <t>C-0666</t>
  </si>
  <si>
    <t>C-0667</t>
  </si>
  <si>
    <t>C-0668</t>
  </si>
  <si>
    <t>C-0669</t>
  </si>
  <si>
    <t>C-0670</t>
  </si>
  <si>
    <t>C-0671</t>
  </si>
  <si>
    <t>C-0672</t>
  </si>
  <si>
    <t>C-0673</t>
  </si>
  <si>
    <t>C-0674</t>
  </si>
  <si>
    <t>C-0675</t>
  </si>
  <si>
    <t>C-0676</t>
  </si>
  <si>
    <t>C-0677</t>
  </si>
  <si>
    <t>C-0678</t>
  </si>
  <si>
    <t>C-0679</t>
  </si>
  <si>
    <t>C-0680</t>
  </si>
  <si>
    <t>C-0681</t>
  </si>
  <si>
    <t>C-0682</t>
  </si>
  <si>
    <t>C-0683</t>
  </si>
  <si>
    <t>C-0684</t>
  </si>
  <si>
    <t>C-0685</t>
  </si>
  <si>
    <t>C-0686</t>
  </si>
  <si>
    <t>C-0687</t>
  </si>
  <si>
    <t>C-0688</t>
  </si>
  <si>
    <t>C-0689</t>
  </si>
  <si>
    <t>C-0690</t>
  </si>
  <si>
    <t>C-0691</t>
  </si>
  <si>
    <t>C-0692</t>
  </si>
  <si>
    <t>C-0693</t>
  </si>
  <si>
    <t>C-0694</t>
  </si>
  <si>
    <t>C-0695</t>
  </si>
  <si>
    <t>C-0696</t>
  </si>
  <si>
    <t>C-0697</t>
  </si>
  <si>
    <t>C-0698</t>
  </si>
  <si>
    <t>C-0699</t>
  </si>
  <si>
    <t>C-0700</t>
  </si>
  <si>
    <t>C-0701</t>
  </si>
  <si>
    <t>C-0702</t>
  </si>
  <si>
    <t>C-0703</t>
  </si>
  <si>
    <t>C-0704</t>
  </si>
  <si>
    <t>C-0705</t>
  </si>
  <si>
    <t>C-0706</t>
  </si>
  <si>
    <t>C-0707</t>
  </si>
  <si>
    <t>C-0708</t>
  </si>
  <si>
    <t>C-0709</t>
  </si>
  <si>
    <t>C-0710</t>
  </si>
  <si>
    <t>C-0711</t>
  </si>
  <si>
    <t>C-0712</t>
  </si>
  <si>
    <t>C-0713</t>
  </si>
  <si>
    <t>C-0714</t>
  </si>
  <si>
    <t>C-0715</t>
  </si>
  <si>
    <t>C-0716</t>
  </si>
  <si>
    <t>C-0717</t>
  </si>
  <si>
    <t>C-0718</t>
  </si>
  <si>
    <t>C-0719</t>
  </si>
  <si>
    <t>C-0720</t>
  </si>
  <si>
    <t>C-0721</t>
  </si>
  <si>
    <t>C-0722</t>
  </si>
  <si>
    <t>C-0723</t>
  </si>
  <si>
    <t>C-0724</t>
  </si>
  <si>
    <t>C-0725</t>
  </si>
  <si>
    <t>C-0726</t>
  </si>
  <si>
    <t>C-0727</t>
  </si>
  <si>
    <t>C-0728</t>
  </si>
  <si>
    <t>C-0729</t>
  </si>
  <si>
    <t>C-0730</t>
  </si>
  <si>
    <t>C-0731</t>
  </si>
  <si>
    <t>C-0732</t>
  </si>
  <si>
    <t>C-0733</t>
  </si>
  <si>
    <t>C-0734</t>
  </si>
  <si>
    <t>C-0735</t>
  </si>
  <si>
    <t>C-0736</t>
  </si>
  <si>
    <t>C-0737</t>
  </si>
  <si>
    <t>C-0738</t>
  </si>
  <si>
    <t>C-0739</t>
  </si>
  <si>
    <t>C-0740</t>
  </si>
  <si>
    <t>C-0741</t>
  </si>
  <si>
    <t>C-0742</t>
  </si>
  <si>
    <t>C-0743</t>
  </si>
  <si>
    <t>C-0744</t>
  </si>
  <si>
    <t>C-0745</t>
  </si>
  <si>
    <t>C-0746</t>
  </si>
  <si>
    <t>C-0747</t>
  </si>
  <si>
    <t>C-0748</t>
  </si>
  <si>
    <t>C-0749</t>
  </si>
  <si>
    <t>C-0750</t>
  </si>
  <si>
    <t>C-0751</t>
  </si>
  <si>
    <t>C-0752</t>
  </si>
  <si>
    <t>C-0753</t>
  </si>
  <si>
    <t>C-0754</t>
  </si>
  <si>
    <t>C-0755</t>
  </si>
  <si>
    <t>C-0756</t>
  </si>
  <si>
    <t>C-0757</t>
  </si>
  <si>
    <t>C-0758</t>
  </si>
  <si>
    <t>C-0759</t>
  </si>
  <si>
    <t>C-0760</t>
  </si>
  <si>
    <t>C-0761</t>
  </si>
  <si>
    <t>C-0762</t>
  </si>
  <si>
    <t>C-0763</t>
  </si>
  <si>
    <t>C-0764</t>
  </si>
  <si>
    <t>C-0765</t>
  </si>
  <si>
    <t>C-0766</t>
  </si>
  <si>
    <t>C-0767</t>
  </si>
  <si>
    <t>C-0768</t>
  </si>
  <si>
    <t>C-0769</t>
  </si>
  <si>
    <t>C-0770</t>
  </si>
  <si>
    <t>C-0771</t>
  </si>
  <si>
    <t>C-0772</t>
  </si>
  <si>
    <t>C-0773</t>
  </si>
  <si>
    <t>C-0774</t>
  </si>
  <si>
    <t>C-0775</t>
  </si>
  <si>
    <t>C-0776</t>
  </si>
  <si>
    <t>C-0777</t>
  </si>
  <si>
    <t>C-0778</t>
  </si>
  <si>
    <t>C-0779</t>
  </si>
  <si>
    <t>C-0780</t>
  </si>
  <si>
    <t>C-0781</t>
  </si>
  <si>
    <t>C-0782</t>
  </si>
  <si>
    <t>C-0783</t>
  </si>
  <si>
    <t>C-0784</t>
  </si>
  <si>
    <t>C-0785</t>
  </si>
  <si>
    <t>C-0786</t>
  </si>
  <si>
    <t>C-0787</t>
  </si>
  <si>
    <t>C-0788</t>
  </si>
  <si>
    <t>C-0789</t>
  </si>
  <si>
    <t>C-0790</t>
  </si>
  <si>
    <t>C-0791</t>
  </si>
  <si>
    <t>C-0792</t>
  </si>
  <si>
    <t>C-0793</t>
  </si>
  <si>
    <t>C-0794</t>
  </si>
  <si>
    <t>C-0795</t>
  </si>
  <si>
    <t>C-0796</t>
  </si>
  <si>
    <t>C-0797</t>
  </si>
  <si>
    <t>C-0798</t>
  </si>
  <si>
    <t>C-0799</t>
  </si>
  <si>
    <t>C-0800</t>
  </si>
  <si>
    <t>C-0801</t>
  </si>
  <si>
    <t>C-0802</t>
  </si>
  <si>
    <t>C-0803</t>
  </si>
  <si>
    <t>C-0804</t>
  </si>
  <si>
    <t>C-0805</t>
  </si>
  <si>
    <t>C-0806</t>
  </si>
  <si>
    <t>C-0807</t>
  </si>
  <si>
    <t>C-0808</t>
  </si>
  <si>
    <t>C-0809</t>
  </si>
  <si>
    <t>C-0810</t>
  </si>
  <si>
    <t>C-0811</t>
  </si>
  <si>
    <t>C-0812</t>
  </si>
  <si>
    <t>C-0813</t>
  </si>
  <si>
    <t>C-0814</t>
  </si>
  <si>
    <t>C-0815</t>
  </si>
  <si>
    <t>C-0816</t>
  </si>
  <si>
    <t>C-0817</t>
  </si>
  <si>
    <t>C-0818</t>
  </si>
  <si>
    <t>C-0819</t>
  </si>
  <si>
    <t>C-0820</t>
  </si>
  <si>
    <t>C-0821</t>
  </si>
  <si>
    <t>C-0822</t>
  </si>
  <si>
    <t>C-0823</t>
  </si>
  <si>
    <t>C-0824</t>
  </si>
  <si>
    <t>C-0825</t>
  </si>
  <si>
    <t>C-0826</t>
  </si>
  <si>
    <t>C-0827</t>
  </si>
  <si>
    <t>C-0828</t>
  </si>
  <si>
    <t>C-0829</t>
  </si>
  <si>
    <t>C-0830</t>
  </si>
  <si>
    <t>C-0831</t>
  </si>
  <si>
    <t>C-0832</t>
  </si>
  <si>
    <t>C-0833</t>
  </si>
  <si>
    <t>C-0834</t>
  </si>
  <si>
    <t>C-0835</t>
  </si>
  <si>
    <t>C-0836</t>
  </si>
  <si>
    <t>C-0837</t>
  </si>
  <si>
    <t>C-0838</t>
  </si>
  <si>
    <t>C-0839</t>
  </si>
  <si>
    <t>C-0840</t>
  </si>
  <si>
    <t>C-0841</t>
  </si>
  <si>
    <t>C-0842</t>
  </si>
  <si>
    <t>C-0843</t>
  </si>
  <si>
    <t>C-0844</t>
  </si>
  <si>
    <t>C-0845</t>
  </si>
  <si>
    <t>C-0846</t>
  </si>
  <si>
    <t>C-0847</t>
  </si>
  <si>
    <t>C-0848</t>
  </si>
  <si>
    <t>C-0849</t>
  </si>
  <si>
    <t>C-0850</t>
  </si>
  <si>
    <t>C-0851</t>
  </si>
  <si>
    <t>C-0852</t>
  </si>
  <si>
    <t>C-0853</t>
  </si>
  <si>
    <t>C-0854</t>
  </si>
  <si>
    <t>C-0855</t>
  </si>
  <si>
    <t>C-0856</t>
  </si>
  <si>
    <t>C-0857</t>
  </si>
  <si>
    <t>C-0858</t>
  </si>
  <si>
    <t>C-0859</t>
  </si>
  <si>
    <t>C-0860</t>
  </si>
  <si>
    <t>C-0861</t>
  </si>
  <si>
    <t>C-0862</t>
  </si>
  <si>
    <t>C-0863</t>
  </si>
  <si>
    <t>C-0864</t>
  </si>
  <si>
    <t>C-0865</t>
  </si>
  <si>
    <t>C-0866</t>
  </si>
  <si>
    <t>C-0867</t>
  </si>
  <si>
    <t>C-0868</t>
  </si>
  <si>
    <t>C-0869</t>
  </si>
  <si>
    <t>C-0870</t>
  </si>
  <si>
    <t>C-0871</t>
  </si>
  <si>
    <t>C-0872</t>
  </si>
  <si>
    <t>C-0873</t>
  </si>
  <si>
    <t>C-0874</t>
  </si>
  <si>
    <t>C-0875</t>
  </si>
  <si>
    <t>C-0876</t>
  </si>
  <si>
    <t>C-0877</t>
  </si>
  <si>
    <t>C-0878</t>
  </si>
  <si>
    <t>C-0879</t>
  </si>
  <si>
    <t>C-0880</t>
  </si>
  <si>
    <t>C-0881</t>
  </si>
  <si>
    <t>C-0882</t>
  </si>
  <si>
    <t>C-0883</t>
  </si>
  <si>
    <t>C-0884</t>
  </si>
  <si>
    <t>C-0885</t>
  </si>
  <si>
    <t>C-0886</t>
  </si>
  <si>
    <t>C-0887</t>
  </si>
  <si>
    <t>C-0888</t>
  </si>
  <si>
    <t>C-0889</t>
  </si>
  <si>
    <t>C-0890</t>
  </si>
  <si>
    <t>C-0891</t>
  </si>
  <si>
    <t>C-0892</t>
  </si>
  <si>
    <t>C-0893</t>
  </si>
  <si>
    <t>C-0894</t>
  </si>
  <si>
    <t>C-0895</t>
  </si>
  <si>
    <t>C-0896</t>
  </si>
  <si>
    <t>C-0897</t>
  </si>
  <si>
    <t>C-0898</t>
  </si>
  <si>
    <t>C-0899</t>
  </si>
  <si>
    <t>C-0900</t>
  </si>
  <si>
    <t>C-0901</t>
  </si>
  <si>
    <t>C-0902</t>
  </si>
  <si>
    <t>C-0903</t>
  </si>
  <si>
    <t>C-0904</t>
  </si>
  <si>
    <t>C-0905</t>
  </si>
  <si>
    <t>C-0906</t>
  </si>
  <si>
    <t>C-0907</t>
  </si>
  <si>
    <t>C-0908</t>
  </si>
  <si>
    <t>C-0909</t>
  </si>
  <si>
    <t>C-0910</t>
  </si>
  <si>
    <t>C-0911</t>
  </si>
  <si>
    <t>C-0912</t>
  </si>
  <si>
    <t>C-0913</t>
  </si>
  <si>
    <t>C-0914</t>
  </si>
  <si>
    <t>C-0915</t>
  </si>
  <si>
    <t>C-0916</t>
  </si>
  <si>
    <t>C-0917</t>
  </si>
  <si>
    <t>C-0918</t>
  </si>
  <si>
    <t>C-0919</t>
  </si>
  <si>
    <t>C-0920</t>
  </si>
  <si>
    <t>C-0921</t>
  </si>
  <si>
    <t>C-0922</t>
  </si>
  <si>
    <t>C-0923</t>
  </si>
  <si>
    <t>C-0924</t>
  </si>
  <si>
    <t>C-0925</t>
  </si>
  <si>
    <t>C-0926</t>
  </si>
  <si>
    <t>C-0927</t>
  </si>
  <si>
    <t>C-0928</t>
  </si>
  <si>
    <t>C-0929</t>
  </si>
  <si>
    <t>C-0930</t>
  </si>
  <si>
    <t>C-0931</t>
  </si>
  <si>
    <t>C-0932</t>
  </si>
  <si>
    <t>C-0933</t>
  </si>
  <si>
    <t>C-0934</t>
  </si>
  <si>
    <t>C-0935</t>
  </si>
  <si>
    <t>C-0936</t>
  </si>
  <si>
    <t>C-0937</t>
  </si>
  <si>
    <t>C-0938</t>
  </si>
  <si>
    <t>C-0939</t>
  </si>
  <si>
    <t>C-0940</t>
  </si>
  <si>
    <t>C-0941</t>
  </si>
  <si>
    <t>C-0942</t>
  </si>
  <si>
    <t>C-0943</t>
  </si>
  <si>
    <t>C-0944</t>
  </si>
  <si>
    <t>C-0945</t>
  </si>
  <si>
    <t>C-0946</t>
  </si>
  <si>
    <t>C-0947</t>
  </si>
  <si>
    <t>C-0948</t>
  </si>
  <si>
    <t>C-0949</t>
  </si>
  <si>
    <t>C-0950</t>
  </si>
  <si>
    <t>C-0951</t>
  </si>
  <si>
    <t>C-0952</t>
  </si>
  <si>
    <t>C-0953</t>
  </si>
  <si>
    <t>C-0954</t>
  </si>
  <si>
    <t>C-0955</t>
  </si>
  <si>
    <t>C-0956</t>
  </si>
  <si>
    <t>C-0957</t>
  </si>
  <si>
    <t>C-0958</t>
  </si>
  <si>
    <t>C-0959</t>
  </si>
  <si>
    <t>C-0960</t>
  </si>
  <si>
    <t>C-0961</t>
  </si>
  <si>
    <t>C-0962</t>
  </si>
  <si>
    <t>C-0963</t>
  </si>
  <si>
    <t>C-0964</t>
  </si>
  <si>
    <t>C-0965</t>
  </si>
  <si>
    <t>C-0966</t>
  </si>
  <si>
    <t>C-0967</t>
  </si>
  <si>
    <t>C-0968</t>
  </si>
  <si>
    <t>C-0969</t>
  </si>
  <si>
    <t>C-0970</t>
  </si>
  <si>
    <t>C-0971</t>
  </si>
  <si>
    <t>C-0972</t>
  </si>
  <si>
    <t>C-0973</t>
  </si>
  <si>
    <t>C-0974</t>
  </si>
  <si>
    <t>C-0975</t>
  </si>
  <si>
    <t>C-0976</t>
  </si>
  <si>
    <t>C-0977</t>
  </si>
  <si>
    <t>C-0978</t>
  </si>
  <si>
    <t>C-0979</t>
  </si>
  <si>
    <t>C-0980</t>
  </si>
  <si>
    <t>C-0981</t>
  </si>
  <si>
    <t>C-0982</t>
  </si>
  <si>
    <t>C-0983</t>
  </si>
  <si>
    <t>C-0984</t>
  </si>
  <si>
    <t>C-0985</t>
  </si>
  <si>
    <t>C-0986</t>
  </si>
  <si>
    <t>C-0987</t>
  </si>
  <si>
    <t>C-0988</t>
  </si>
  <si>
    <t>C-0989</t>
  </si>
  <si>
    <t>C-0990</t>
  </si>
  <si>
    <t>C-0991</t>
  </si>
  <si>
    <t>C-0992</t>
  </si>
  <si>
    <t>C-0993</t>
  </si>
  <si>
    <t>C-0994</t>
  </si>
  <si>
    <t>C-0995</t>
  </si>
  <si>
    <t>C-0996</t>
  </si>
  <si>
    <t>C-0997</t>
  </si>
  <si>
    <t>C-0998</t>
  </si>
  <si>
    <t>C-0999</t>
  </si>
  <si>
    <t>Cuenta A</t>
  </si>
  <si>
    <t>LARGO</t>
  </si>
  <si>
    <t>SEPARADOR</t>
  </si>
  <si>
    <t>Nacimiento</t>
  </si>
  <si>
    <t>Grupo</t>
  </si>
  <si>
    <t>Total Grupo  B</t>
  </si>
  <si>
    <t>Total Grupo  C</t>
  </si>
  <si>
    <t>Total Grupo  D</t>
  </si>
  <si>
    <t>Total Grupo  E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</si>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</sst>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\-\ hh:mm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3" borderId="1" xfId="0" applyFill="1" applyBorder="1"/>
    <xf numFmtId="0" fontId="3" fillId="2" borderId="2" xfId="0" applyFont="1" applyFill="1" applyBorder="1"/>
    <xf numFmtId="14" fontId="3" fillId="2" borderId="2" xfId="0" applyNumberFormat="1" applyFont="1" applyFill="1" applyBorder="1"/>
    <xf numFmtId="164" fontId="3" fillId="2" borderId="2" xfId="0" applyNumberFormat="1" applyFont="1" applyFill="1" applyBorder="1"/>
    <xf numFmtId="0" fontId="0" fillId="3" borderId="2" xfId="0" applyFill="1" applyBorder="1"/>
    <xf numFmtId="14" fontId="0" fillId="3" borderId="2" xfId="0" applyNumberFormat="1" applyFill="1" applyBorder="1"/>
    <xf numFmtId="164" fontId="0" fillId="3" borderId="2" xfId="0" applyNumberFormat="1" applyFill="1" applyBorder="1"/>
    <xf numFmtId="14" fontId="0" fillId="3" borderId="0" xfId="0" applyNumberFormat="1" applyFill="1"/>
    <xf numFmtId="164" fontId="0" fillId="3" borderId="0" xfId="0" applyNumberFormat="1" applyFill="1"/>
    <xf numFmtId="14" fontId="0" fillId="3" borderId="1" xfId="0" applyNumberFormat="1" applyFill="1" applyBorder="1"/>
    <xf numFmtId="164" fontId="0" fillId="3" borderId="1" xfId="0" applyNumberFormat="1" applyFill="1" applyBorder="1"/>
    <xf numFmtId="164" fontId="2" fillId="3" borderId="0" xfId="0" applyNumberFormat="1" applyFont="1" applyFill="1"/>
    <xf numFmtId="0" fontId="0" fillId="3" borderId="0" xfId="0" applyFill="1" applyBorder="1"/>
    <xf numFmtId="14" fontId="0" fillId="3" borderId="0" xfId="0" applyNumberFormat="1" applyFill="1" applyBorder="1"/>
    <xf numFmtId="164" fontId="2" fillId="3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F8C2F-74B7-4DB2-835A-34B0DE882FA6}">
  <dimension ref="A1:A6"/>
  <sheetViews>
    <sheetView workbookViewId="0">
      <selection sqref="A1:A6"/>
    </sheetView>
  </sheetViews>
  <sheetFormatPr baseColWidth="10" defaultRowHeight="14.4" x14ac:dyDescent="0.3"/>
  <sheetData>
    <row r="1" spans="1:1" x14ac:dyDescent="0.3">
      <c r="A1" t="s">
        <v>4674</v>
      </c>
    </row>
    <row r="2" spans="1:1" x14ac:dyDescent="0.3">
      <c r="A2" t="s">
        <v>3668</v>
      </c>
    </row>
    <row r="3" spans="1:1" x14ac:dyDescent="0.3">
      <c r="A3" t="s">
        <v>3669</v>
      </c>
    </row>
    <row r="4" spans="1:1" x14ac:dyDescent="0.3">
      <c r="A4" t="s">
        <v>3670</v>
      </c>
    </row>
    <row r="5" spans="1:1" x14ac:dyDescent="0.3">
      <c r="A5" t="s">
        <v>3671</v>
      </c>
    </row>
    <row r="6" spans="1:1" x14ac:dyDescent="0.3">
      <c r="A6" t="s">
        <v>3672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F35BD-2D7E-4F62-AF09-F59FD77EE17D}">
  <dimension ref="A1:N1006"/>
  <sheetViews>
    <sheetView tabSelected="1" zoomScale="140" workbookViewId="0">
      <pane xSplit="2" ySplit="1" topLeftCell="F5" activePane="bottomRight" state="frozen"/>
      <selection pane="topRight" activeCell="C1" sqref="C1"/>
      <selection pane="bottomLeft" activeCell="A2" sqref="A2"/>
      <selection pane="bottomRight" activeCell="J3" sqref="J3"/>
    </sheetView>
  </sheetViews>
  <sheetFormatPr baseColWidth="10" defaultRowHeight="14.4" outlineLevelRow="2" x14ac:dyDescent="0.3"/>
  <cols>
    <col min="1" max="1" width="8.88671875" bestFit="1" customWidth="1"/>
    <col min="2" max="2" width="35.21875" bestFit="1" customWidth="1"/>
    <col min="3" max="3" width="10.77734375" style="1" bestFit="1" customWidth="1"/>
    <col min="4" max="4" width="29.109375" bestFit="1" customWidth="1"/>
    <col min="5" max="5" width="8.77734375" hidden="1" customWidth="1"/>
    <col min="6" max="6" width="29.109375" bestFit="1" customWidth="1"/>
    <col min="7" max="7" width="9.6640625" bestFit="1" customWidth="1"/>
    <col min="8" max="8" width="13.6640625" bestFit="1" customWidth="1"/>
    <col min="9" max="9" width="24.77734375" bestFit="1" customWidth="1"/>
    <col min="10" max="10" width="15" style="2" bestFit="1" customWidth="1"/>
    <col min="11" max="11" width="6.33203125" bestFit="1" customWidth="1"/>
    <col min="12" max="12" width="11.5546875" customWidth="1"/>
    <col min="13" max="13" width="4.21875" customWidth="1"/>
    <col min="14" max="14" width="4" customWidth="1"/>
  </cols>
  <sheetData>
    <row r="1" spans="1:14" ht="15" thickBot="1" x14ac:dyDescent="0.35">
      <c r="A1" s="6" t="s">
        <v>4673</v>
      </c>
      <c r="B1" s="6" t="s">
        <v>0</v>
      </c>
      <c r="C1" s="7" t="s">
        <v>5679</v>
      </c>
      <c r="D1" s="6" t="s">
        <v>1</v>
      </c>
      <c r="E1" s="6" t="s">
        <v>2</v>
      </c>
      <c r="F1" s="6" t="s">
        <v>4675</v>
      </c>
      <c r="G1" s="6" t="s">
        <v>4676</v>
      </c>
      <c r="H1" s="6" t="s">
        <v>4672</v>
      </c>
      <c r="I1" s="6" t="s">
        <v>3</v>
      </c>
      <c r="J1" s="8" t="s">
        <v>4</v>
      </c>
      <c r="K1" s="6" t="s">
        <v>5680</v>
      </c>
      <c r="M1" s="6" t="s">
        <v>5678</v>
      </c>
      <c r="N1" s="6" t="s">
        <v>5677</v>
      </c>
    </row>
    <row r="2" spans="1:14" outlineLevel="2" x14ac:dyDescent="0.3">
      <c r="A2" s="9" t="s">
        <v>5203</v>
      </c>
      <c r="B2" s="9" t="s">
        <v>531</v>
      </c>
      <c r="C2" s="10">
        <v>36607</v>
      </c>
      <c r="D2" s="9" t="s">
        <v>2024</v>
      </c>
      <c r="E2" s="9" t="s">
        <v>1960</v>
      </c>
      <c r="F2" s="9" t="str">
        <f>IF(separador &gt; 0, LEFT(E2,separador - 1), E2)</f>
        <v>London</v>
      </c>
      <c r="G2" s="9" t="str">
        <f>IF(separador &gt; 0, RIGHT(E2,largo -separador - 1),"-")</f>
        <v>-</v>
      </c>
      <c r="H2" s="9" t="s">
        <v>4199</v>
      </c>
      <c r="I2" s="9" t="s">
        <v>3211</v>
      </c>
      <c r="J2" s="11">
        <v>42867.072094907409</v>
      </c>
      <c r="K2" s="9" t="s">
        <v>3668</v>
      </c>
      <c r="M2" s="9">
        <f>IFERROR(FIND(",",E2),0)</f>
        <v>0</v>
      </c>
      <c r="N2" s="9">
        <f>LEN(E2)</f>
        <v>6</v>
      </c>
    </row>
    <row r="3" spans="1:14" outlineLevel="2" x14ac:dyDescent="0.3">
      <c r="A3" t="s">
        <v>5216</v>
      </c>
      <c r="B3" t="s">
        <v>544</v>
      </c>
      <c r="C3" s="1">
        <v>36605</v>
      </c>
      <c r="D3" t="s">
        <v>2041</v>
      </c>
      <c r="E3" t="s">
        <v>2042</v>
      </c>
      <c r="F3" t="str">
        <f>IF(separador &gt; 0, LEFT(E3,separador - 1), E3)</f>
        <v>9047 York Road</v>
      </c>
      <c r="G3" t="str">
        <f>IF(separador &gt; 0, RIGHT(E3,largo -separador - 1),"-")</f>
        <v>-</v>
      </c>
      <c r="H3" t="s">
        <v>4212</v>
      </c>
      <c r="I3" t="s">
        <v>3224</v>
      </c>
      <c r="J3" s="2">
        <v>43536.05810185185</v>
      </c>
      <c r="K3" t="s">
        <v>3668</v>
      </c>
      <c r="M3">
        <f>IFERROR(FIND(",",E3),0)</f>
        <v>0</v>
      </c>
      <c r="N3">
        <f>LEN(E3)</f>
        <v>14</v>
      </c>
    </row>
    <row r="4" spans="1:14" outlineLevel="2" x14ac:dyDescent="0.3">
      <c r="A4" s="4" t="s">
        <v>4902</v>
      </c>
      <c r="B4" s="4" t="s">
        <v>230</v>
      </c>
      <c r="C4" s="12">
        <v>36542</v>
      </c>
      <c r="D4" s="4" t="s">
        <v>1454</v>
      </c>
      <c r="E4" s="4" t="s">
        <v>1455</v>
      </c>
      <c r="F4" s="4" t="str">
        <f>IF(separador &gt; 0, LEFT(E4,separador - 1), E4)</f>
        <v>652 Old Tower Lane</v>
      </c>
      <c r="G4" s="4" t="str">
        <f>IF(separador &gt; 0, RIGHT(E4,largo -separador - 1),"-")</f>
        <v>-</v>
      </c>
      <c r="H4" s="4" t="s">
        <v>3898</v>
      </c>
      <c r="I4" s="4" t="s">
        <v>2913</v>
      </c>
      <c r="J4" s="13">
        <v>41259.266574074078</v>
      </c>
      <c r="K4" s="4" t="s">
        <v>3668</v>
      </c>
      <c r="M4" s="4">
        <f>IFERROR(FIND(",",E4),0)</f>
        <v>0</v>
      </c>
      <c r="N4" s="4">
        <f>LEN(E4)</f>
        <v>18</v>
      </c>
    </row>
    <row r="5" spans="1:14" outlineLevel="2" x14ac:dyDescent="0.3">
      <c r="A5" t="s">
        <v>5526</v>
      </c>
      <c r="B5" t="s">
        <v>854</v>
      </c>
      <c r="C5" s="1">
        <v>36499</v>
      </c>
      <c r="D5" t="s">
        <v>2509</v>
      </c>
      <c r="E5" t="s">
        <v>2510</v>
      </c>
      <c r="F5" t="str">
        <f>IF(separador &gt; 0, LEFT(E5,separador - 1), E5)</f>
        <v>Bronx</v>
      </c>
      <c r="G5" t="str">
        <f>IF(separador &gt; 0, RIGHT(E5,largo -separador - 1),"-")</f>
        <v>NY 10460</v>
      </c>
      <c r="H5" t="s">
        <v>4522</v>
      </c>
      <c r="I5" t="s">
        <v>3524</v>
      </c>
      <c r="J5" s="2">
        <v>41050.649305555555</v>
      </c>
      <c r="K5" t="s">
        <v>3668</v>
      </c>
      <c r="M5">
        <f>IFERROR(FIND(",",E5),0)</f>
        <v>6</v>
      </c>
      <c r="N5">
        <f>LEN(E5)</f>
        <v>15</v>
      </c>
    </row>
    <row r="6" spans="1:14" outlineLevel="2" x14ac:dyDescent="0.3">
      <c r="A6" s="4" t="s">
        <v>5629</v>
      </c>
      <c r="B6" s="4" t="s">
        <v>957</v>
      </c>
      <c r="C6" s="12">
        <v>36472</v>
      </c>
      <c r="D6" s="4" t="s">
        <v>2644</v>
      </c>
      <c r="E6" s="4" t="s">
        <v>2419</v>
      </c>
      <c r="F6" s="4" t="str">
        <f>IF(separador &gt; 0, LEFT(E6,separador - 1), E6)</f>
        <v>Brooklyn</v>
      </c>
      <c r="G6" s="4" t="str">
        <f>IF(separador &gt; 0, RIGHT(E6,largo -separador - 1),"-")</f>
        <v>NY 11209</v>
      </c>
      <c r="H6" s="4" t="s">
        <v>4625</v>
      </c>
      <c r="I6" s="4" t="s">
        <v>3625</v>
      </c>
      <c r="J6" s="13">
        <v>40061.588229166664</v>
      </c>
      <c r="K6" s="4" t="s">
        <v>3668</v>
      </c>
      <c r="M6" s="4">
        <f>IFERROR(FIND(",",E6),0)</f>
        <v>9</v>
      </c>
      <c r="N6" s="4">
        <f>LEN(E6)</f>
        <v>18</v>
      </c>
    </row>
    <row r="7" spans="1:14" outlineLevel="2" x14ac:dyDescent="0.3">
      <c r="A7" t="s">
        <v>5278</v>
      </c>
      <c r="B7" t="s">
        <v>606</v>
      </c>
      <c r="C7" s="1">
        <v>36421</v>
      </c>
      <c r="D7" t="s">
        <v>2123</v>
      </c>
      <c r="E7" t="s">
        <v>1960</v>
      </c>
      <c r="F7" t="str">
        <f>IF(separador &gt; 0, LEFT(E7,separador - 1), E7)</f>
        <v>London</v>
      </c>
      <c r="G7" t="str">
        <f>IF(separador &gt; 0, RIGHT(E7,largo -separador - 1),"-")</f>
        <v>-</v>
      </c>
      <c r="H7" t="s">
        <v>4274</v>
      </c>
      <c r="I7" t="s">
        <v>3284</v>
      </c>
      <c r="J7" s="2">
        <v>43544.039247685185</v>
      </c>
      <c r="K7" t="s">
        <v>3668</v>
      </c>
      <c r="M7">
        <f>IFERROR(FIND(",",E7),0)</f>
        <v>0</v>
      </c>
      <c r="N7">
        <f>LEN(E7)</f>
        <v>6</v>
      </c>
    </row>
    <row r="8" spans="1:14" outlineLevel="2" x14ac:dyDescent="0.3">
      <c r="A8" s="4" t="s">
        <v>5636</v>
      </c>
      <c r="B8" s="4" t="s">
        <v>964</v>
      </c>
      <c r="C8" s="12">
        <v>36246</v>
      </c>
      <c r="D8" s="4" t="s">
        <v>2651</v>
      </c>
      <c r="E8" s="4" t="s">
        <v>2478</v>
      </c>
      <c r="F8" s="4" t="str">
        <f>IF(separador &gt; 0, LEFT(E8,separador - 1), E8)</f>
        <v>Brooklyn</v>
      </c>
      <c r="G8" s="4" t="str">
        <f>IF(separador &gt; 0, RIGHT(E8,largo -separador - 1),"-")</f>
        <v>NY 11237</v>
      </c>
      <c r="H8" s="4" t="s">
        <v>4632</v>
      </c>
      <c r="I8" s="4" t="s">
        <v>3632</v>
      </c>
      <c r="J8" s="13">
        <v>38893.644085648149</v>
      </c>
      <c r="K8" s="4" t="s">
        <v>3668</v>
      </c>
      <c r="M8" s="4">
        <f>IFERROR(FIND(",",E8),0)</f>
        <v>9</v>
      </c>
      <c r="N8" s="4">
        <f>LEN(E8)</f>
        <v>18</v>
      </c>
    </row>
    <row r="9" spans="1:14" outlineLevel="2" x14ac:dyDescent="0.3">
      <c r="A9" t="s">
        <v>5631</v>
      </c>
      <c r="B9" t="s">
        <v>959</v>
      </c>
      <c r="C9" s="1">
        <v>36210</v>
      </c>
      <c r="D9" t="s">
        <v>2646</v>
      </c>
      <c r="E9" t="s">
        <v>2425</v>
      </c>
      <c r="F9" t="str">
        <f>IF(separador &gt; 0, LEFT(E9,separador - 1), E9)</f>
        <v>Lockport</v>
      </c>
      <c r="G9" t="str">
        <f>IF(separador &gt; 0, RIGHT(E9,largo -separador - 1),"-")</f>
        <v>NY 14094</v>
      </c>
      <c r="H9" t="s">
        <v>4627</v>
      </c>
      <c r="I9" t="s">
        <v>3627</v>
      </c>
      <c r="J9" s="2">
        <v>39966.437407407408</v>
      </c>
      <c r="K9" t="s">
        <v>3668</v>
      </c>
      <c r="M9">
        <f>IFERROR(FIND(",",E9),0)</f>
        <v>9</v>
      </c>
      <c r="N9">
        <f>LEN(E9)</f>
        <v>18</v>
      </c>
    </row>
    <row r="10" spans="1:14" outlineLevel="2" x14ac:dyDescent="0.3">
      <c r="A10" s="4" t="s">
        <v>5312</v>
      </c>
      <c r="B10" s="4" t="s">
        <v>640</v>
      </c>
      <c r="C10" s="12">
        <v>36089</v>
      </c>
      <c r="D10" s="4" t="s">
        <v>2168</v>
      </c>
      <c r="E10" s="4" t="s">
        <v>2169</v>
      </c>
      <c r="F10" s="4" t="str">
        <f>IF(separador &gt; 0, LEFT(E10,separador - 1), E10)</f>
        <v>72 New Road</v>
      </c>
      <c r="G10" s="4" t="str">
        <f>IF(separador &gt; 0, RIGHT(E10,largo -separador - 1),"-")</f>
        <v>-</v>
      </c>
      <c r="H10" s="4" t="s">
        <v>4308</v>
      </c>
      <c r="I10" s="4" t="s">
        <v>3317</v>
      </c>
      <c r="J10" s="13">
        <v>39971.835775462961</v>
      </c>
      <c r="K10" s="4" t="s">
        <v>3668</v>
      </c>
      <c r="M10" s="4">
        <f>IFERROR(FIND(",",E10),0)</f>
        <v>0</v>
      </c>
      <c r="N10" s="4">
        <f>LEN(E10)</f>
        <v>11</v>
      </c>
    </row>
    <row r="11" spans="1:14" outlineLevel="2" x14ac:dyDescent="0.3">
      <c r="A11" t="s">
        <v>4876</v>
      </c>
      <c r="B11" t="s">
        <v>204</v>
      </c>
      <c r="C11" s="1">
        <v>36027</v>
      </c>
      <c r="D11" t="s">
        <v>1402</v>
      </c>
      <c r="E11" t="s">
        <v>1403</v>
      </c>
      <c r="F11" t="str">
        <f>IF(separador &gt; 0, LEFT(E11,separador - 1), E11)</f>
        <v>83 Front Ave.</v>
      </c>
      <c r="G11" t="str">
        <f>IF(separador &gt; 0, RIGHT(E11,largo -separador - 1),"-")</f>
        <v>-</v>
      </c>
      <c r="H11" t="s">
        <v>3872</v>
      </c>
      <c r="I11" t="s">
        <v>2888</v>
      </c>
      <c r="J11" s="2">
        <v>42516.177430555559</v>
      </c>
      <c r="K11" t="s">
        <v>3668</v>
      </c>
      <c r="M11">
        <f>IFERROR(FIND(",",E11),0)</f>
        <v>0</v>
      </c>
      <c r="N11">
        <f>LEN(E11)</f>
        <v>13</v>
      </c>
    </row>
    <row r="12" spans="1:14" outlineLevel="2" x14ac:dyDescent="0.3">
      <c r="A12" s="4" t="s">
        <v>5406</v>
      </c>
      <c r="B12" s="4" t="s">
        <v>734</v>
      </c>
      <c r="C12" s="12">
        <v>36023</v>
      </c>
      <c r="D12" s="4" t="s">
        <v>1960</v>
      </c>
      <c r="E12" s="4" t="s">
        <v>2293</v>
      </c>
      <c r="F12" s="4" t="str">
        <f>IF(separador &gt; 0, LEFT(E12,separador - 1), E12)</f>
        <v>N20 5KT</v>
      </c>
      <c r="G12" s="4" t="str">
        <f>IF(separador &gt; 0, RIGHT(E12,largo -separador - 1),"-")</f>
        <v>-</v>
      </c>
      <c r="H12" s="4" t="s">
        <v>4402</v>
      </c>
      <c r="I12" s="4" t="s">
        <v>3409</v>
      </c>
      <c r="J12" s="13">
        <v>43916.808310185188</v>
      </c>
      <c r="K12" s="4" t="s">
        <v>3668</v>
      </c>
      <c r="M12" s="4">
        <f>IFERROR(FIND(",",E12),0)</f>
        <v>0</v>
      </c>
      <c r="N12" s="4">
        <f>LEN(E12)</f>
        <v>7</v>
      </c>
    </row>
    <row r="13" spans="1:14" outlineLevel="2" x14ac:dyDescent="0.3">
      <c r="A13" t="s">
        <v>5202</v>
      </c>
      <c r="B13" t="s">
        <v>530</v>
      </c>
      <c r="C13" s="1">
        <v>36016</v>
      </c>
      <c r="D13" t="s">
        <v>1960</v>
      </c>
      <c r="E13" t="s">
        <v>2023</v>
      </c>
      <c r="F13" t="str">
        <f>IF(separador &gt; 0, LEFT(E13,separador - 1), E13)</f>
        <v>SE54 9NC</v>
      </c>
      <c r="G13" t="str">
        <f>IF(separador &gt; 0, RIGHT(E13,largo -separador - 1),"-")</f>
        <v>-</v>
      </c>
      <c r="H13" t="s">
        <v>4198</v>
      </c>
      <c r="I13" t="s">
        <v>3210</v>
      </c>
      <c r="J13" s="2">
        <v>38458.951805555553</v>
      </c>
      <c r="K13" t="s">
        <v>3668</v>
      </c>
      <c r="M13">
        <f>IFERROR(FIND(",",E13),0)</f>
        <v>0</v>
      </c>
      <c r="N13">
        <f>LEN(E13)</f>
        <v>8</v>
      </c>
    </row>
    <row r="14" spans="1:14" outlineLevel="2" x14ac:dyDescent="0.3">
      <c r="A14" s="4" t="s">
        <v>5147</v>
      </c>
      <c r="B14" s="4" t="s">
        <v>475</v>
      </c>
      <c r="C14" s="12">
        <v>35934</v>
      </c>
      <c r="D14" s="4" t="s">
        <v>1943</v>
      </c>
      <c r="E14" s="4" t="s">
        <v>1944</v>
      </c>
      <c r="F14" s="4" t="str">
        <f>IF(separador &gt; 0, LEFT(E14,separador - 1), E14)</f>
        <v>Orange Park</v>
      </c>
      <c r="G14" s="4" t="str">
        <f>IF(separador &gt; 0, RIGHT(E14,largo -separador - 1),"-")</f>
        <v>FL 32073</v>
      </c>
      <c r="H14" s="4" t="s">
        <v>4143</v>
      </c>
      <c r="I14" s="4" t="s">
        <v>3156</v>
      </c>
      <c r="J14" s="13">
        <v>41625.276956018519</v>
      </c>
      <c r="K14" s="4" t="s">
        <v>3668</v>
      </c>
      <c r="M14" s="4">
        <f>IFERROR(FIND(",",E14),0)</f>
        <v>12</v>
      </c>
      <c r="N14" s="4">
        <f>LEN(E14)</f>
        <v>21</v>
      </c>
    </row>
    <row r="15" spans="1:14" outlineLevel="2" x14ac:dyDescent="0.3">
      <c r="A15" t="s">
        <v>5209</v>
      </c>
      <c r="B15" t="s">
        <v>537</v>
      </c>
      <c r="C15" s="1">
        <v>35920</v>
      </c>
      <c r="D15" t="s">
        <v>2032</v>
      </c>
      <c r="E15" t="s">
        <v>1960</v>
      </c>
      <c r="F15" t="str">
        <f>IF(separador &gt; 0, LEFT(E15,separador - 1), E15)</f>
        <v>London</v>
      </c>
      <c r="G15" t="str">
        <f>IF(separador &gt; 0, RIGHT(E15,largo -separador - 1),"-")</f>
        <v>-</v>
      </c>
      <c r="H15" t="s">
        <v>4205</v>
      </c>
      <c r="I15" t="s">
        <v>3217</v>
      </c>
      <c r="J15" s="2">
        <v>39771.709386574075</v>
      </c>
      <c r="K15" t="s">
        <v>3668</v>
      </c>
      <c r="M15">
        <f>IFERROR(FIND(",",E15),0)</f>
        <v>0</v>
      </c>
      <c r="N15">
        <f>LEN(E15)</f>
        <v>6</v>
      </c>
    </row>
    <row r="16" spans="1:14" outlineLevel="2" x14ac:dyDescent="0.3">
      <c r="A16" s="4" t="s">
        <v>5414</v>
      </c>
      <c r="B16" s="4" t="s">
        <v>742</v>
      </c>
      <c r="C16" s="12">
        <v>35886</v>
      </c>
      <c r="D16" s="4" t="s">
        <v>2303</v>
      </c>
      <c r="E16" s="4" t="s">
        <v>2304</v>
      </c>
      <c r="F16" s="4" t="str">
        <f>IF(separador &gt; 0, LEFT(E16,separador - 1), E16)</f>
        <v>952 London Road</v>
      </c>
      <c r="G16" s="4" t="str">
        <f>IF(separador &gt; 0, RIGHT(E16,largo -separador - 1),"-")</f>
        <v>-</v>
      </c>
      <c r="H16" s="4" t="s">
        <v>4410</v>
      </c>
      <c r="I16" s="4" t="s">
        <v>3416</v>
      </c>
      <c r="J16" s="13">
        <v>41074.985868055555</v>
      </c>
      <c r="K16" s="4" t="s">
        <v>3668</v>
      </c>
      <c r="M16" s="4">
        <f>IFERROR(FIND(",",E16),0)</f>
        <v>0</v>
      </c>
      <c r="N16" s="4">
        <f>LEN(E16)</f>
        <v>15</v>
      </c>
    </row>
    <row r="17" spans="1:14" outlineLevel="2" x14ac:dyDescent="0.3">
      <c r="A17" t="s">
        <v>5112</v>
      </c>
      <c r="B17" t="s">
        <v>440</v>
      </c>
      <c r="C17" s="1">
        <v>35828</v>
      </c>
      <c r="D17" t="s">
        <v>1873</v>
      </c>
      <c r="E17" t="s">
        <v>1874</v>
      </c>
      <c r="F17" t="str">
        <f>IF(separador &gt; 0, LEFT(E17,separador - 1), E17)</f>
        <v>8711 Clay Dr.</v>
      </c>
      <c r="G17" t="str">
        <f>IF(separador &gt; 0, RIGHT(E17,largo -separador - 1),"-")</f>
        <v>-</v>
      </c>
      <c r="H17" t="s">
        <v>4108</v>
      </c>
      <c r="I17" t="s">
        <v>3121</v>
      </c>
      <c r="J17" s="2">
        <v>38679.405347222222</v>
      </c>
      <c r="K17" t="s">
        <v>3668</v>
      </c>
      <c r="M17">
        <f>IFERROR(FIND(",",E17),0)</f>
        <v>0</v>
      </c>
      <c r="N17">
        <f>LEN(E17)</f>
        <v>13</v>
      </c>
    </row>
    <row r="18" spans="1:14" outlineLevel="2" x14ac:dyDescent="0.3">
      <c r="A18" s="4" t="s">
        <v>5253</v>
      </c>
      <c r="B18" s="4" t="s">
        <v>581</v>
      </c>
      <c r="C18" s="12">
        <v>35768</v>
      </c>
      <c r="D18" s="4" t="s">
        <v>1960</v>
      </c>
      <c r="E18" s="4" t="s">
        <v>2090</v>
      </c>
      <c r="F18" s="4" t="str">
        <f>IF(separador &gt; 0, LEFT(E18,separador - 1), E18)</f>
        <v>W06 3RG</v>
      </c>
      <c r="G18" s="4" t="str">
        <f>IF(separador &gt; 0, RIGHT(E18,largo -separador - 1),"-")</f>
        <v>-</v>
      </c>
      <c r="H18" s="4" t="s">
        <v>4249</v>
      </c>
      <c r="I18" s="4" t="s">
        <v>3259</v>
      </c>
      <c r="J18" s="13">
        <v>40185.839409722219</v>
      </c>
      <c r="K18" s="4" t="s">
        <v>3668</v>
      </c>
      <c r="M18" s="4">
        <f>IFERROR(FIND(",",E18),0)</f>
        <v>0</v>
      </c>
      <c r="N18" s="4">
        <f>LEN(E18)</f>
        <v>7</v>
      </c>
    </row>
    <row r="19" spans="1:14" outlineLevel="2" x14ac:dyDescent="0.3">
      <c r="A19" t="s">
        <v>5393</v>
      </c>
      <c r="B19" t="s">
        <v>721</v>
      </c>
      <c r="C19" s="1">
        <v>35745</v>
      </c>
      <c r="D19" t="s">
        <v>2275</v>
      </c>
      <c r="E19" t="s">
        <v>2276</v>
      </c>
      <c r="F19" t="str">
        <f>IF(separador &gt; 0, LEFT(E19,separador - 1), E19)</f>
        <v>51 George Street</v>
      </c>
      <c r="G19" t="str">
        <f>IF(separador &gt; 0, RIGHT(E19,largo -separador - 1),"-")</f>
        <v>-</v>
      </c>
      <c r="H19" t="s">
        <v>4389</v>
      </c>
      <c r="I19" t="s">
        <v>3396</v>
      </c>
      <c r="J19" s="2">
        <v>41654.085601851853</v>
      </c>
      <c r="K19" t="s">
        <v>3668</v>
      </c>
      <c r="M19">
        <f>IFERROR(FIND(",",E19),0)</f>
        <v>0</v>
      </c>
      <c r="N19">
        <f>LEN(E19)</f>
        <v>16</v>
      </c>
    </row>
    <row r="20" spans="1:14" outlineLevel="2" x14ac:dyDescent="0.3">
      <c r="A20" s="4" t="s">
        <v>5436</v>
      </c>
      <c r="B20" s="4" t="s">
        <v>764</v>
      </c>
      <c r="C20" s="12">
        <v>35618</v>
      </c>
      <c r="D20" s="4" t="s">
        <v>1960</v>
      </c>
      <c r="E20" s="4" t="s">
        <v>2332</v>
      </c>
      <c r="F20" s="4" t="str">
        <f>IF(separador &gt; 0, LEFT(E20,separador - 1), E20)</f>
        <v>E54 2MI</v>
      </c>
      <c r="G20" s="4" t="str">
        <f>IF(separador &gt; 0, RIGHT(E20,largo -separador - 1),"-")</f>
        <v>-</v>
      </c>
      <c r="H20" s="4" t="s">
        <v>4432</v>
      </c>
      <c r="I20" s="4" t="s">
        <v>3135</v>
      </c>
      <c r="J20" s="13">
        <v>43036.935555555552</v>
      </c>
      <c r="K20" s="4" t="s">
        <v>3668</v>
      </c>
      <c r="M20" s="4">
        <f>IFERROR(FIND(",",E20),0)</f>
        <v>0</v>
      </c>
      <c r="N20" s="4">
        <f>LEN(E20)</f>
        <v>7</v>
      </c>
    </row>
    <row r="21" spans="1:14" outlineLevel="2" x14ac:dyDescent="0.3">
      <c r="A21" t="s">
        <v>5325</v>
      </c>
      <c r="B21" t="s">
        <v>653</v>
      </c>
      <c r="C21" s="1">
        <v>35549</v>
      </c>
      <c r="D21" t="s">
        <v>1960</v>
      </c>
      <c r="E21" t="s">
        <v>2186</v>
      </c>
      <c r="F21" t="str">
        <f>IF(separador &gt; 0, LEFT(E21,separador - 1), E21)</f>
        <v>W46 2BU</v>
      </c>
      <c r="G21" t="str">
        <f>IF(separador &gt; 0, RIGHT(E21,largo -separador - 1),"-")</f>
        <v>-</v>
      </c>
      <c r="H21" t="s">
        <v>4321</v>
      </c>
      <c r="I21" t="s">
        <v>3330</v>
      </c>
      <c r="J21" s="2">
        <v>40124.719780092593</v>
      </c>
      <c r="K21" t="s">
        <v>3668</v>
      </c>
      <c r="M21">
        <f>IFERROR(FIND(",",E21),0)</f>
        <v>0</v>
      </c>
      <c r="N21">
        <f>LEN(E21)</f>
        <v>7</v>
      </c>
    </row>
    <row r="22" spans="1:14" outlineLevel="2" x14ac:dyDescent="0.3">
      <c r="A22" s="4" t="s">
        <v>5413</v>
      </c>
      <c r="B22" s="4" t="s">
        <v>741</v>
      </c>
      <c r="C22" s="12">
        <v>35371</v>
      </c>
      <c r="D22" s="4" t="s">
        <v>2302</v>
      </c>
      <c r="E22" s="4" t="s">
        <v>1960</v>
      </c>
      <c r="F22" s="4" t="str">
        <f>IF(separador &gt; 0, LEFT(E22,separador - 1), E22)</f>
        <v>London</v>
      </c>
      <c r="G22" s="4" t="str">
        <f>IF(separador &gt; 0, RIGHT(E22,largo -separador - 1),"-")</f>
        <v>-</v>
      </c>
      <c r="H22" s="4" t="s">
        <v>4409</v>
      </c>
      <c r="I22" s="4" t="s">
        <v>3415</v>
      </c>
      <c r="J22" s="13">
        <v>41204.944976851853</v>
      </c>
      <c r="K22" s="4" t="s">
        <v>3668</v>
      </c>
      <c r="M22" s="4">
        <f>IFERROR(FIND(",",E22),0)</f>
        <v>0</v>
      </c>
      <c r="N22" s="4">
        <f>LEN(E22)</f>
        <v>6</v>
      </c>
    </row>
    <row r="23" spans="1:14" outlineLevel="2" x14ac:dyDescent="0.3">
      <c r="A23" t="s">
        <v>5580</v>
      </c>
      <c r="B23" t="s">
        <v>908</v>
      </c>
      <c r="C23" s="1">
        <v>35289</v>
      </c>
      <c r="D23" t="s">
        <v>2595</v>
      </c>
      <c r="E23" t="s">
        <v>1023</v>
      </c>
      <c r="F23" t="str">
        <f>IF(separador &gt; 0, LEFT(E23,separador - 1), E23)</f>
        <v>Rego Park</v>
      </c>
      <c r="G23" t="str">
        <f>IF(separador &gt; 0, RIGHT(E23,largo -separador - 1),"-")</f>
        <v>NY 11374</v>
      </c>
      <c r="H23" t="s">
        <v>4576</v>
      </c>
      <c r="I23" t="s">
        <v>3578</v>
      </c>
      <c r="J23" s="2">
        <v>39540.50922453704</v>
      </c>
      <c r="K23" t="s">
        <v>3668</v>
      </c>
      <c r="M23">
        <f>IFERROR(FIND(",",E23),0)</f>
        <v>10</v>
      </c>
      <c r="N23">
        <f>LEN(E23)</f>
        <v>19</v>
      </c>
    </row>
    <row r="24" spans="1:14" outlineLevel="2" x14ac:dyDescent="0.3">
      <c r="A24" s="4" t="s">
        <v>5583</v>
      </c>
      <c r="B24" s="4" t="s">
        <v>911</v>
      </c>
      <c r="C24" s="12">
        <v>35213</v>
      </c>
      <c r="D24" s="4" t="s">
        <v>2598</v>
      </c>
      <c r="E24" s="4" t="s">
        <v>2476</v>
      </c>
      <c r="F24" s="4" t="str">
        <f>IF(separador &gt; 0, LEFT(E24,separador - 1), E24)</f>
        <v>Jamaica</v>
      </c>
      <c r="G24" s="4" t="str">
        <f>IF(separador &gt; 0, RIGHT(E24,largo -separador - 1),"-")</f>
        <v>NY 11434</v>
      </c>
      <c r="H24" s="4" t="s">
        <v>4579</v>
      </c>
      <c r="I24" s="4" t="s">
        <v>3581</v>
      </c>
      <c r="J24" s="13">
        <v>42453.71402777778</v>
      </c>
      <c r="K24" s="4" t="s">
        <v>3668</v>
      </c>
      <c r="M24" s="4">
        <f>IFERROR(FIND(",",E24),0)</f>
        <v>8</v>
      </c>
      <c r="N24" s="4">
        <f>LEN(E24)</f>
        <v>17</v>
      </c>
    </row>
    <row r="25" spans="1:14" outlineLevel="2" x14ac:dyDescent="0.3">
      <c r="A25" t="s">
        <v>5488</v>
      </c>
      <c r="B25" t="s">
        <v>816</v>
      </c>
      <c r="C25" s="1">
        <v>35014</v>
      </c>
      <c r="D25" t="s">
        <v>2434</v>
      </c>
      <c r="E25" t="s">
        <v>2435</v>
      </c>
      <c r="F25" t="str">
        <f>IF(separador &gt; 0, LEFT(E25,separador - 1), E25)</f>
        <v>Bronx</v>
      </c>
      <c r="G25" t="str">
        <f>IF(separador &gt; 0, RIGHT(E25,largo -separador - 1),"-")</f>
        <v>NY 10465</v>
      </c>
      <c r="H25" t="s">
        <v>4484</v>
      </c>
      <c r="I25" t="s">
        <v>3487</v>
      </c>
      <c r="J25" s="2">
        <v>44052.716666666667</v>
      </c>
      <c r="K25" t="s">
        <v>3668</v>
      </c>
      <c r="M25">
        <f>IFERROR(FIND(",",E25),0)</f>
        <v>6</v>
      </c>
      <c r="N25">
        <f>LEN(E25)</f>
        <v>15</v>
      </c>
    </row>
    <row r="26" spans="1:14" outlineLevel="2" x14ac:dyDescent="0.3">
      <c r="A26" s="4" t="s">
        <v>5512</v>
      </c>
      <c r="B26" s="4" t="s">
        <v>840</v>
      </c>
      <c r="C26" s="12">
        <v>35000</v>
      </c>
      <c r="D26" s="4" t="s">
        <v>2481</v>
      </c>
      <c r="E26" s="4" t="s">
        <v>2482</v>
      </c>
      <c r="F26" s="4" t="str">
        <f>IF(separador &gt; 0, LEFT(E26,separador - 1), E26)</f>
        <v>Buffalo</v>
      </c>
      <c r="G26" s="4" t="str">
        <f>IF(separador &gt; 0, RIGHT(E26,largo -separador - 1),"-")</f>
        <v>NY 14221</v>
      </c>
      <c r="H26" s="4" t="s">
        <v>4508</v>
      </c>
      <c r="I26" s="4" t="s">
        <v>3511</v>
      </c>
      <c r="J26" s="13">
        <v>41098.835439814815</v>
      </c>
      <c r="K26" s="4" t="s">
        <v>3668</v>
      </c>
      <c r="M26" s="4">
        <f>IFERROR(FIND(",",E26),0)</f>
        <v>8</v>
      </c>
      <c r="N26" s="4">
        <f>LEN(E26)</f>
        <v>17</v>
      </c>
    </row>
    <row r="27" spans="1:14" outlineLevel="2" x14ac:dyDescent="0.3">
      <c r="A27" t="s">
        <v>5319</v>
      </c>
      <c r="B27" t="s">
        <v>647</v>
      </c>
      <c r="C27" s="1">
        <v>34949</v>
      </c>
      <c r="D27" t="s">
        <v>1960</v>
      </c>
      <c r="E27" t="s">
        <v>2178</v>
      </c>
      <c r="F27" t="str">
        <f>IF(separador &gt; 0, LEFT(E27,separador - 1), E27)</f>
        <v>NW69 5KE</v>
      </c>
      <c r="G27" t="str">
        <f>IF(separador &gt; 0, RIGHT(E27,largo -separador - 1),"-")</f>
        <v>-</v>
      </c>
      <c r="H27" t="s">
        <v>4315</v>
      </c>
      <c r="I27" t="s">
        <v>3324</v>
      </c>
      <c r="J27" s="2">
        <v>40088.984074074076</v>
      </c>
      <c r="K27" t="s">
        <v>3668</v>
      </c>
      <c r="M27">
        <f>IFERROR(FIND(",",E27),0)</f>
        <v>0</v>
      </c>
      <c r="N27">
        <f>LEN(E27)</f>
        <v>8</v>
      </c>
    </row>
    <row r="28" spans="1:14" outlineLevel="2" x14ac:dyDescent="0.3">
      <c r="A28" s="4" t="s">
        <v>5598</v>
      </c>
      <c r="B28" s="4" t="s">
        <v>926</v>
      </c>
      <c r="C28" s="12">
        <v>34930</v>
      </c>
      <c r="D28" s="4" t="s">
        <v>2613</v>
      </c>
      <c r="E28" s="4" t="s">
        <v>2526</v>
      </c>
      <c r="F28" s="4" t="str">
        <f>IF(separador &gt; 0, LEFT(E28,separador - 1), E28)</f>
        <v>Rochester</v>
      </c>
      <c r="G28" s="4" t="str">
        <f>IF(separador &gt; 0, RIGHT(E28,largo -separador - 1),"-")</f>
        <v>NY 14609</v>
      </c>
      <c r="H28" s="4" t="s">
        <v>4594</v>
      </c>
      <c r="I28" s="4" t="s">
        <v>3595</v>
      </c>
      <c r="J28" s="13">
        <v>38753.61041666667</v>
      </c>
      <c r="K28" s="4" t="s">
        <v>3668</v>
      </c>
      <c r="M28" s="4">
        <f>IFERROR(FIND(",",E28),0)</f>
        <v>10</v>
      </c>
      <c r="N28" s="4">
        <f>LEN(E28)</f>
        <v>19</v>
      </c>
    </row>
    <row r="29" spans="1:14" outlineLevel="2" x14ac:dyDescent="0.3">
      <c r="A29" t="s">
        <v>4946</v>
      </c>
      <c r="B29" t="s">
        <v>274</v>
      </c>
      <c r="C29" s="1">
        <v>34928</v>
      </c>
      <c r="D29" t="s">
        <v>1542</v>
      </c>
      <c r="E29" t="s">
        <v>1543</v>
      </c>
      <c r="F29" t="str">
        <f>IF(separador &gt; 0, LEFT(E29,separador - 1), E29)</f>
        <v>14 Military Street</v>
      </c>
      <c r="G29" t="str">
        <f>IF(separador &gt; 0, RIGHT(E29,largo -separador - 1),"-")</f>
        <v>-</v>
      </c>
      <c r="H29" t="s">
        <v>3942</v>
      </c>
      <c r="I29" t="s">
        <v>2957</v>
      </c>
      <c r="J29" s="2">
        <v>40069.496296296296</v>
      </c>
      <c r="K29" t="s">
        <v>3668</v>
      </c>
      <c r="M29">
        <f>IFERROR(FIND(",",E29),0)</f>
        <v>0</v>
      </c>
      <c r="N29">
        <f>LEN(E29)</f>
        <v>18</v>
      </c>
    </row>
    <row r="30" spans="1:14" outlineLevel="2" x14ac:dyDescent="0.3">
      <c r="A30" s="4" t="s">
        <v>5037</v>
      </c>
      <c r="B30" s="4" t="s">
        <v>365</v>
      </c>
      <c r="C30" s="12">
        <v>34920</v>
      </c>
      <c r="D30" s="4" t="s">
        <v>1724</v>
      </c>
      <c r="E30" s="4" t="s">
        <v>1725</v>
      </c>
      <c r="F30" s="4" t="str">
        <f>IF(separador &gt; 0, LEFT(E30,separador - 1), E30)</f>
        <v>3 Henry St.</v>
      </c>
      <c r="G30" s="4" t="str">
        <f>IF(separador &gt; 0, RIGHT(E30,largo -separador - 1),"-")</f>
        <v>-</v>
      </c>
      <c r="H30" s="4" t="s">
        <v>4033</v>
      </c>
      <c r="I30" s="4" t="s">
        <v>3047</v>
      </c>
      <c r="J30" s="13">
        <v>43487.443865740737</v>
      </c>
      <c r="K30" s="4" t="s">
        <v>3668</v>
      </c>
      <c r="M30" s="4">
        <f>IFERROR(FIND(",",E30),0)</f>
        <v>0</v>
      </c>
      <c r="N30" s="4">
        <f>LEN(E30)</f>
        <v>11</v>
      </c>
    </row>
    <row r="31" spans="1:14" outlineLevel="2" x14ac:dyDescent="0.3">
      <c r="A31" t="s">
        <v>5536</v>
      </c>
      <c r="B31" t="s">
        <v>864</v>
      </c>
      <c r="C31" s="1">
        <v>34892</v>
      </c>
      <c r="D31" t="s">
        <v>2529</v>
      </c>
      <c r="E31" t="s">
        <v>2530</v>
      </c>
      <c r="F31" t="str">
        <f>IF(separador &gt; 0, LEFT(E31,separador - 1), E31)</f>
        <v>Brooklyn</v>
      </c>
      <c r="G31" t="str">
        <f>IF(separador &gt; 0, RIGHT(E31,largo -separador - 1),"-")</f>
        <v>NY 11203</v>
      </c>
      <c r="H31" t="s">
        <v>4532</v>
      </c>
      <c r="I31" t="s">
        <v>3534</v>
      </c>
      <c r="J31" s="2">
        <v>38848.523611111108</v>
      </c>
      <c r="K31" t="s">
        <v>3668</v>
      </c>
      <c r="M31">
        <f>IFERROR(FIND(",",E31),0)</f>
        <v>9</v>
      </c>
      <c r="N31">
        <f>LEN(E31)</f>
        <v>18</v>
      </c>
    </row>
    <row r="32" spans="1:14" outlineLevel="2" x14ac:dyDescent="0.3">
      <c r="A32" s="4" t="s">
        <v>5118</v>
      </c>
      <c r="B32" s="4" t="s">
        <v>446</v>
      </c>
      <c r="C32" s="12">
        <v>34823</v>
      </c>
      <c r="D32" s="4" t="s">
        <v>1885</v>
      </c>
      <c r="E32" s="4" t="s">
        <v>1886</v>
      </c>
      <c r="F32" s="4" t="str">
        <f>IF(separador &gt; 0, LEFT(E32,separador - 1), E32)</f>
        <v>507 High Street</v>
      </c>
      <c r="G32" s="4" t="str">
        <f>IF(separador &gt; 0, RIGHT(E32,largo -separador - 1),"-")</f>
        <v>-</v>
      </c>
      <c r="H32" s="4" t="s">
        <v>4114</v>
      </c>
      <c r="I32" s="4" t="s">
        <v>3127</v>
      </c>
      <c r="J32" s="13">
        <v>39346.321539351855</v>
      </c>
      <c r="K32" s="4" t="s">
        <v>3668</v>
      </c>
      <c r="M32" s="4">
        <f>IFERROR(FIND(",",E32),0)</f>
        <v>0</v>
      </c>
      <c r="N32" s="4">
        <f>LEN(E32)</f>
        <v>15</v>
      </c>
    </row>
    <row r="33" spans="1:14" outlineLevel="2" x14ac:dyDescent="0.3">
      <c r="A33" t="s">
        <v>5645</v>
      </c>
      <c r="B33" t="s">
        <v>973</v>
      </c>
      <c r="C33" s="1">
        <v>34813</v>
      </c>
      <c r="D33" t="s">
        <v>2660</v>
      </c>
      <c r="E33" t="s">
        <v>2342</v>
      </c>
      <c r="F33" t="str">
        <f>IF(separador &gt; 0, LEFT(E33,separador - 1), E33)</f>
        <v>Brooklyn</v>
      </c>
      <c r="G33" t="str">
        <f>IF(separador &gt; 0, RIGHT(E33,largo -separador - 1),"-")</f>
        <v>NY 11218</v>
      </c>
      <c r="H33" t="s">
        <v>4641</v>
      </c>
      <c r="I33" t="s">
        <v>3639</v>
      </c>
      <c r="J33" s="2">
        <v>41483.625648148147</v>
      </c>
      <c r="K33" t="s">
        <v>3668</v>
      </c>
      <c r="M33">
        <f>IFERROR(FIND(",",E33),0)</f>
        <v>9</v>
      </c>
      <c r="N33">
        <f>LEN(E33)</f>
        <v>18</v>
      </c>
    </row>
    <row r="34" spans="1:14" outlineLevel="2" x14ac:dyDescent="0.3">
      <c r="A34" s="4" t="s">
        <v>5062</v>
      </c>
      <c r="B34" s="4" t="s">
        <v>390</v>
      </c>
      <c r="C34" s="12">
        <v>34796</v>
      </c>
      <c r="D34" s="4" t="s">
        <v>1774</v>
      </c>
      <c r="E34" s="4" t="s">
        <v>1775</v>
      </c>
      <c r="F34" s="4" t="str">
        <f>IF(separador &gt; 0, LEFT(E34,separador - 1), E34)</f>
        <v>943 Brookside St.</v>
      </c>
      <c r="G34" s="4" t="str">
        <f>IF(separador &gt; 0, RIGHT(E34,largo -separador - 1),"-")</f>
        <v>-</v>
      </c>
      <c r="H34" s="4" t="s">
        <v>4058</v>
      </c>
      <c r="I34" s="4" t="s">
        <v>3072</v>
      </c>
      <c r="J34" s="13">
        <v>38476.912465277775</v>
      </c>
      <c r="K34" s="4" t="s">
        <v>3668</v>
      </c>
      <c r="M34" s="4">
        <f>IFERROR(FIND(",",E34),0)</f>
        <v>0</v>
      </c>
      <c r="N34" s="4">
        <f>LEN(E34)</f>
        <v>17</v>
      </c>
    </row>
    <row r="35" spans="1:14" outlineLevel="2" x14ac:dyDescent="0.3">
      <c r="A35" t="s">
        <v>4917</v>
      </c>
      <c r="B35" t="s">
        <v>245</v>
      </c>
      <c r="C35" s="1">
        <v>34769</v>
      </c>
      <c r="D35" t="s">
        <v>1484</v>
      </c>
      <c r="E35" t="s">
        <v>1485</v>
      </c>
      <c r="F35" t="str">
        <f>IF(separador &gt; 0, LEFT(E35,separador - 1), E35)</f>
        <v>62 E. Foxrun Drive</v>
      </c>
      <c r="G35" t="str">
        <f>IF(separador &gt; 0, RIGHT(E35,largo -separador - 1),"-")</f>
        <v>-</v>
      </c>
      <c r="H35" t="s">
        <v>3913</v>
      </c>
      <c r="I35" t="s">
        <v>2928</v>
      </c>
      <c r="J35" s="2">
        <v>38606.783483796295</v>
      </c>
      <c r="K35" t="s">
        <v>3668</v>
      </c>
      <c r="M35">
        <f>IFERROR(FIND(",",E35),0)</f>
        <v>0</v>
      </c>
      <c r="N35">
        <f>LEN(E35)</f>
        <v>18</v>
      </c>
    </row>
    <row r="36" spans="1:14" outlineLevel="2" x14ac:dyDescent="0.3">
      <c r="A36" s="4" t="s">
        <v>5564</v>
      </c>
      <c r="B36" s="4" t="s">
        <v>892</v>
      </c>
      <c r="C36" s="12">
        <v>34701</v>
      </c>
      <c r="D36" s="4" t="s">
        <v>2579</v>
      </c>
      <c r="E36" s="4" t="s">
        <v>2352</v>
      </c>
      <c r="F36" s="4" t="str">
        <f>IF(separador &gt; 0, LEFT(E36,separador - 1), E36)</f>
        <v>Bronx</v>
      </c>
      <c r="G36" s="4" t="str">
        <f>IF(separador &gt; 0, RIGHT(E36,largo -separador - 1),"-")</f>
        <v>NY 10456</v>
      </c>
      <c r="H36" s="4" t="s">
        <v>4560</v>
      </c>
      <c r="I36" s="4" t="s">
        <v>3562</v>
      </c>
      <c r="J36" s="13">
        <v>39718.784537037034</v>
      </c>
      <c r="K36" s="4" t="s">
        <v>3668</v>
      </c>
      <c r="M36" s="4">
        <f>IFERROR(FIND(",",E36),0)</f>
        <v>6</v>
      </c>
      <c r="N36" s="4">
        <f>LEN(E36)</f>
        <v>15</v>
      </c>
    </row>
    <row r="37" spans="1:14" outlineLevel="2" x14ac:dyDescent="0.3">
      <c r="A37" t="s">
        <v>4839</v>
      </c>
      <c r="B37" t="s">
        <v>167</v>
      </c>
      <c r="C37" s="1">
        <v>34599</v>
      </c>
      <c r="D37" t="s">
        <v>1328</v>
      </c>
      <c r="E37" t="s">
        <v>1329</v>
      </c>
      <c r="F37" t="str">
        <f>IF(separador &gt; 0, LEFT(E37,separador - 1), E37)</f>
        <v>Chula Vista</v>
      </c>
      <c r="G37" t="str">
        <f>IF(separador &gt; 0, RIGHT(E37,largo -separador - 1),"-")</f>
        <v>CA 91910</v>
      </c>
      <c r="H37" t="s">
        <v>3835</v>
      </c>
      <c r="I37" t="s">
        <v>2759</v>
      </c>
      <c r="J37" s="2">
        <v>42218.085104166668</v>
      </c>
      <c r="K37" t="s">
        <v>3668</v>
      </c>
      <c r="M37">
        <f>IFERROR(FIND(",",E37),0)</f>
        <v>12</v>
      </c>
      <c r="N37">
        <f>LEN(E37)</f>
        <v>21</v>
      </c>
    </row>
    <row r="38" spans="1:14" outlineLevel="2" x14ac:dyDescent="0.3">
      <c r="A38" s="4" t="s">
        <v>5609</v>
      </c>
      <c r="B38" s="4" t="s">
        <v>937</v>
      </c>
      <c r="C38" s="12">
        <v>34588</v>
      </c>
      <c r="D38" s="4" t="s">
        <v>2624</v>
      </c>
      <c r="E38" s="4" t="s">
        <v>2384</v>
      </c>
      <c r="F38" s="4" t="str">
        <f>IF(separador &gt; 0, LEFT(E38,separador - 1), E38)</f>
        <v>Lindenhurst</v>
      </c>
      <c r="G38" s="4" t="str">
        <f>IF(separador &gt; 0, RIGHT(E38,largo -separador - 1),"-")</f>
        <v>NY 11757</v>
      </c>
      <c r="H38" s="4" t="s">
        <v>4605</v>
      </c>
      <c r="I38" s="4" t="s">
        <v>3606</v>
      </c>
      <c r="J38" s="13">
        <v>38968.974259259259</v>
      </c>
      <c r="K38" s="4" t="s">
        <v>3668</v>
      </c>
      <c r="M38" s="4">
        <f>IFERROR(FIND(",",E38),0)</f>
        <v>12</v>
      </c>
      <c r="N38" s="4">
        <f>LEN(E38)</f>
        <v>21</v>
      </c>
    </row>
    <row r="39" spans="1:14" outlineLevel="2" x14ac:dyDescent="0.3">
      <c r="A39" t="s">
        <v>5401</v>
      </c>
      <c r="B39" t="s">
        <v>729</v>
      </c>
      <c r="C39" s="1">
        <v>34528</v>
      </c>
      <c r="D39" t="s">
        <v>2286</v>
      </c>
      <c r="E39" t="s">
        <v>1960</v>
      </c>
      <c r="F39" t="str">
        <f>IF(separador &gt; 0, LEFT(E39,separador - 1), E39)</f>
        <v>London</v>
      </c>
      <c r="G39" t="str">
        <f>IF(separador &gt; 0, RIGHT(E39,largo -separador - 1),"-")</f>
        <v>-</v>
      </c>
      <c r="H39" t="s">
        <v>4397</v>
      </c>
      <c r="I39" t="s">
        <v>3404</v>
      </c>
      <c r="J39" s="2">
        <v>42117.114872685182</v>
      </c>
      <c r="K39" t="s">
        <v>3668</v>
      </c>
      <c r="M39">
        <f>IFERROR(FIND(",",E39),0)</f>
        <v>0</v>
      </c>
      <c r="N39">
        <f>LEN(E39)</f>
        <v>6</v>
      </c>
    </row>
    <row r="40" spans="1:14" outlineLevel="2" x14ac:dyDescent="0.3">
      <c r="A40" s="4" t="s">
        <v>5539</v>
      </c>
      <c r="B40" s="4" t="s">
        <v>867</v>
      </c>
      <c r="C40" s="12">
        <v>34505</v>
      </c>
      <c r="D40" s="4" t="s">
        <v>2535</v>
      </c>
      <c r="E40" s="4" t="s">
        <v>2536</v>
      </c>
      <c r="F40" s="4" t="str">
        <f>IF(separador &gt; 0, LEFT(E40,separador - 1), E40)</f>
        <v>Brooklyn</v>
      </c>
      <c r="G40" s="4" t="str">
        <f>IF(separador &gt; 0, RIGHT(E40,largo -separador - 1),"-")</f>
        <v>NY 11230</v>
      </c>
      <c r="H40" s="4" t="s">
        <v>4535</v>
      </c>
      <c r="I40" s="4" t="s">
        <v>3537</v>
      </c>
      <c r="J40" s="13">
        <v>44055.070590277777</v>
      </c>
      <c r="K40" s="4" t="s">
        <v>3668</v>
      </c>
      <c r="M40" s="4">
        <f>IFERROR(FIND(",",E40),0)</f>
        <v>9</v>
      </c>
      <c r="N40" s="4">
        <f>LEN(E40)</f>
        <v>18</v>
      </c>
    </row>
    <row r="41" spans="1:14" outlineLevel="2" x14ac:dyDescent="0.3">
      <c r="A41" t="s">
        <v>5475</v>
      </c>
      <c r="B41" t="s">
        <v>803</v>
      </c>
      <c r="C41" s="1">
        <v>34457</v>
      </c>
      <c r="D41" t="s">
        <v>2408</v>
      </c>
      <c r="E41" t="s">
        <v>2409</v>
      </c>
      <c r="F41" t="str">
        <f>IF(separador &gt; 0, LEFT(E41,separador - 1), E41)</f>
        <v>Brooklyn</v>
      </c>
      <c r="G41" t="str">
        <f>IF(separador &gt; 0, RIGHT(E41,largo -separador - 1),"-")</f>
        <v>NY 11229</v>
      </c>
      <c r="H41" t="s">
        <v>4471</v>
      </c>
      <c r="I41" t="s">
        <v>3474</v>
      </c>
      <c r="J41" s="2">
        <v>40090.429664351854</v>
      </c>
      <c r="K41" t="s">
        <v>3668</v>
      </c>
      <c r="M41">
        <f>IFERROR(FIND(",",E41),0)</f>
        <v>9</v>
      </c>
      <c r="N41">
        <f>LEN(E41)</f>
        <v>18</v>
      </c>
    </row>
    <row r="42" spans="1:14" outlineLevel="2" x14ac:dyDescent="0.3">
      <c r="A42" s="4" t="s">
        <v>4756</v>
      </c>
      <c r="B42" s="4" t="s">
        <v>84</v>
      </c>
      <c r="C42" s="12">
        <v>34433</v>
      </c>
      <c r="D42" s="4" t="s">
        <v>1162</v>
      </c>
      <c r="E42" s="4" t="s">
        <v>1163</v>
      </c>
      <c r="F42" s="4" t="str">
        <f>IF(separador &gt; 0, LEFT(E42,separador - 1), E42)</f>
        <v>WOLVERHAMPTON</v>
      </c>
      <c r="G42" s="4" t="str">
        <f>IF(separador &gt; 0, RIGHT(E42,largo -separador - 1),"-")</f>
        <v>-</v>
      </c>
      <c r="H42" s="4" t="s">
        <v>3752</v>
      </c>
      <c r="I42" s="4" t="s">
        <v>2770</v>
      </c>
      <c r="J42" s="13">
        <v>39817.509027777778</v>
      </c>
      <c r="K42" s="4" t="s">
        <v>3668</v>
      </c>
      <c r="M42" s="4">
        <f>IFERROR(FIND(",",E42),0)</f>
        <v>0</v>
      </c>
      <c r="N42" s="4">
        <f>LEN(E42)</f>
        <v>13</v>
      </c>
    </row>
    <row r="43" spans="1:14" outlineLevel="2" x14ac:dyDescent="0.3">
      <c r="A43" t="s">
        <v>4880</v>
      </c>
      <c r="B43" t="s">
        <v>208</v>
      </c>
      <c r="C43" s="1">
        <v>34403</v>
      </c>
      <c r="D43" t="s">
        <v>1410</v>
      </c>
      <c r="E43" t="s">
        <v>1411</v>
      </c>
      <c r="F43" t="str">
        <f>IF(separador &gt; 0, LEFT(E43,separador - 1), E43)</f>
        <v>9185 Mechanic St.</v>
      </c>
      <c r="G43" t="str">
        <f>IF(separador &gt; 0, RIGHT(E43,largo -separador - 1),"-")</f>
        <v>-</v>
      </c>
      <c r="H43" t="s">
        <v>3876</v>
      </c>
      <c r="I43" t="s">
        <v>2892</v>
      </c>
      <c r="J43" s="2">
        <v>43706.590740740743</v>
      </c>
      <c r="K43" t="s">
        <v>3668</v>
      </c>
      <c r="M43">
        <f>IFERROR(FIND(",",E43),0)</f>
        <v>0</v>
      </c>
      <c r="N43">
        <f>LEN(E43)</f>
        <v>17</v>
      </c>
    </row>
    <row r="44" spans="1:14" outlineLevel="2" x14ac:dyDescent="0.3">
      <c r="A44" s="4" t="s">
        <v>5221</v>
      </c>
      <c r="B44" s="4" t="s">
        <v>549</v>
      </c>
      <c r="C44" s="12">
        <v>34349</v>
      </c>
      <c r="D44" s="4" t="s">
        <v>2047</v>
      </c>
      <c r="E44" s="4" t="s">
        <v>1960</v>
      </c>
      <c r="F44" s="4" t="str">
        <f>IF(separador &gt; 0, LEFT(E44,separador - 1), E44)</f>
        <v>London</v>
      </c>
      <c r="G44" s="4" t="str">
        <f>IF(separador &gt; 0, RIGHT(E44,largo -separador - 1),"-")</f>
        <v>-</v>
      </c>
      <c r="H44" s="4" t="s">
        <v>4217</v>
      </c>
      <c r="I44" s="4" t="s">
        <v>3229</v>
      </c>
      <c r="J44" s="13">
        <v>43572.948125000003</v>
      </c>
      <c r="K44" s="4" t="s">
        <v>3668</v>
      </c>
      <c r="M44" s="4">
        <f>IFERROR(FIND(",",E44),0)</f>
        <v>0</v>
      </c>
      <c r="N44" s="4">
        <f>LEN(E44)</f>
        <v>6</v>
      </c>
    </row>
    <row r="45" spans="1:14" outlineLevel="2" x14ac:dyDescent="0.3">
      <c r="A45" t="s">
        <v>5065</v>
      </c>
      <c r="B45" t="s">
        <v>393</v>
      </c>
      <c r="C45" s="1">
        <v>34341</v>
      </c>
      <c r="D45" t="s">
        <v>1780</v>
      </c>
      <c r="E45" t="s">
        <v>1781</v>
      </c>
      <c r="F45" t="str">
        <f>IF(separador &gt; 0, LEFT(E45,separador - 1), E45)</f>
        <v>46 Marlborough Drive</v>
      </c>
      <c r="G45" t="str">
        <f>IF(separador &gt; 0, RIGHT(E45,largo -separador - 1),"-")</f>
        <v>-</v>
      </c>
      <c r="H45" t="s">
        <v>4061</v>
      </c>
      <c r="I45" t="s">
        <v>3075</v>
      </c>
      <c r="J45" s="2">
        <v>39943.525439814817</v>
      </c>
      <c r="K45" t="s">
        <v>3668</v>
      </c>
      <c r="M45">
        <f>IFERROR(FIND(",",E45),0)</f>
        <v>0</v>
      </c>
      <c r="N45">
        <f>LEN(E45)</f>
        <v>20</v>
      </c>
    </row>
    <row r="46" spans="1:14" outlineLevel="2" x14ac:dyDescent="0.3">
      <c r="A46" s="4" t="s">
        <v>4707</v>
      </c>
      <c r="B46" s="4" t="s">
        <v>35</v>
      </c>
      <c r="C46" s="12">
        <v>34263</v>
      </c>
      <c r="D46" s="4" t="s">
        <v>1064</v>
      </c>
      <c r="E46" s="4" t="s">
        <v>1065</v>
      </c>
      <c r="F46" s="4" t="str">
        <f>IF(separador &gt; 0, LEFT(E46,separador - 1), E46)</f>
        <v>West Springfield</v>
      </c>
      <c r="G46" s="4" t="str">
        <f>IF(separador &gt; 0, RIGHT(E46,largo -separador - 1),"-")</f>
        <v>MA 01089</v>
      </c>
      <c r="H46" s="4" t="s">
        <v>3703</v>
      </c>
      <c r="I46" s="4" t="s">
        <v>2721</v>
      </c>
      <c r="J46" s="13">
        <v>38728.033819444441</v>
      </c>
      <c r="K46" s="4" t="s">
        <v>3668</v>
      </c>
      <c r="M46" s="4">
        <f>IFERROR(FIND(",",E46),0)</f>
        <v>17</v>
      </c>
      <c r="N46" s="4">
        <f>LEN(E46)</f>
        <v>26</v>
      </c>
    </row>
    <row r="47" spans="1:14" outlineLevel="2" x14ac:dyDescent="0.3">
      <c r="A47" t="s">
        <v>4871</v>
      </c>
      <c r="B47" t="s">
        <v>199</v>
      </c>
      <c r="C47" s="1">
        <v>34250</v>
      </c>
      <c r="D47" t="s">
        <v>1392</v>
      </c>
      <c r="E47" t="s">
        <v>1393</v>
      </c>
      <c r="F47" t="str">
        <f>IF(separador &gt; 0, LEFT(E47,separador - 1), E47)</f>
        <v>48 Fairfield Lane</v>
      </c>
      <c r="G47" t="str">
        <f>IF(separador &gt; 0, RIGHT(E47,largo -separador - 1),"-")</f>
        <v>-</v>
      </c>
      <c r="H47" t="s">
        <v>3867</v>
      </c>
      <c r="I47" t="s">
        <v>2883</v>
      </c>
      <c r="J47" s="2">
        <v>38751.748738425929</v>
      </c>
      <c r="K47" t="s">
        <v>3668</v>
      </c>
      <c r="M47">
        <f>IFERROR(FIND(",",E47),0)</f>
        <v>0</v>
      </c>
      <c r="N47">
        <f>LEN(E47)</f>
        <v>17</v>
      </c>
    </row>
    <row r="48" spans="1:14" outlineLevel="2" x14ac:dyDescent="0.3">
      <c r="A48" s="4" t="s">
        <v>4896</v>
      </c>
      <c r="B48" s="4" t="s">
        <v>224</v>
      </c>
      <c r="C48" s="12">
        <v>34113</v>
      </c>
      <c r="D48" s="4" t="s">
        <v>1442</v>
      </c>
      <c r="E48" s="4" t="s">
        <v>1443</v>
      </c>
      <c r="F48" s="4" t="str">
        <f>IF(separador &gt; 0, LEFT(E48,separador - 1), E48)</f>
        <v>17 Euclid Rd.</v>
      </c>
      <c r="G48" s="4" t="str">
        <f>IF(separador &gt; 0, RIGHT(E48,largo -separador - 1),"-")</f>
        <v>-</v>
      </c>
      <c r="H48" s="4" t="s">
        <v>3892</v>
      </c>
      <c r="I48" s="4" t="s">
        <v>2907</v>
      </c>
      <c r="J48" s="13">
        <v>38473.242418981485</v>
      </c>
      <c r="K48" s="4" t="s">
        <v>3668</v>
      </c>
      <c r="M48" s="4">
        <f>IFERROR(FIND(",",E48),0)</f>
        <v>0</v>
      </c>
      <c r="N48" s="4">
        <f>LEN(E48)</f>
        <v>13</v>
      </c>
    </row>
    <row r="49" spans="1:14" outlineLevel="2" x14ac:dyDescent="0.3">
      <c r="A49" t="s">
        <v>5596</v>
      </c>
      <c r="B49" t="s">
        <v>924</v>
      </c>
      <c r="C49" s="1">
        <v>34091</v>
      </c>
      <c r="D49" t="s">
        <v>2611</v>
      </c>
      <c r="E49" t="s">
        <v>2514</v>
      </c>
      <c r="F49" t="str">
        <f>IF(separador &gt; 0, LEFT(E49,separador - 1), E49)</f>
        <v>New York</v>
      </c>
      <c r="G49" t="str">
        <f>IF(separador &gt; 0, RIGHT(E49,largo -separador - 1),"-")</f>
        <v>NY 10032</v>
      </c>
      <c r="H49" t="s">
        <v>4592</v>
      </c>
      <c r="I49" t="s">
        <v>3593</v>
      </c>
      <c r="J49" s="2">
        <v>43138.464062500003</v>
      </c>
      <c r="K49" t="s">
        <v>3668</v>
      </c>
      <c r="M49">
        <f>IFERROR(FIND(",",E49),0)</f>
        <v>9</v>
      </c>
      <c r="N49">
        <f>LEN(E49)</f>
        <v>18</v>
      </c>
    </row>
    <row r="50" spans="1:14" outlineLevel="2" x14ac:dyDescent="0.3">
      <c r="A50" s="4" t="s">
        <v>4760</v>
      </c>
      <c r="B50" s="4" t="s">
        <v>88</v>
      </c>
      <c r="C50" s="12">
        <v>34050</v>
      </c>
      <c r="D50" s="4" t="s">
        <v>1170</v>
      </c>
      <c r="E50" s="4" t="s">
        <v>1171</v>
      </c>
      <c r="F50" s="4" t="str">
        <f>IF(separador &gt; 0, LEFT(E50,separador - 1), E50)</f>
        <v>20 West Street</v>
      </c>
      <c r="G50" s="4" t="str">
        <f>IF(separador &gt; 0, RIGHT(E50,largo -separador - 1),"-")</f>
        <v>-</v>
      </c>
      <c r="H50" s="4" t="s">
        <v>3756</v>
      </c>
      <c r="I50" s="4" t="s">
        <v>2774</v>
      </c>
      <c r="J50" s="13">
        <v>40933.466793981483</v>
      </c>
      <c r="K50" s="4" t="s">
        <v>3668</v>
      </c>
      <c r="M50" s="4">
        <f>IFERROR(FIND(",",E50),0)</f>
        <v>0</v>
      </c>
      <c r="N50" s="4">
        <f>LEN(E50)</f>
        <v>14</v>
      </c>
    </row>
    <row r="51" spans="1:14" outlineLevel="2" x14ac:dyDescent="0.3">
      <c r="A51" t="s">
        <v>5193</v>
      </c>
      <c r="B51" t="s">
        <v>521</v>
      </c>
      <c r="C51" s="1">
        <v>34011</v>
      </c>
      <c r="D51" t="s">
        <v>1960</v>
      </c>
      <c r="E51" t="s">
        <v>2011</v>
      </c>
      <c r="F51" t="str">
        <f>IF(separador &gt; 0, LEFT(E51,separador - 1), E51)</f>
        <v>E76 2PS</v>
      </c>
      <c r="G51" t="str">
        <f>IF(separador &gt; 0, RIGHT(E51,largo -separador - 1),"-")</f>
        <v>-</v>
      </c>
      <c r="H51" t="s">
        <v>4189</v>
      </c>
      <c r="I51" t="s">
        <v>3201</v>
      </c>
      <c r="J51" s="2">
        <v>43987.248668981483</v>
      </c>
      <c r="K51" t="s">
        <v>3668</v>
      </c>
      <c r="M51">
        <f>IFERROR(FIND(",",E51),0)</f>
        <v>0</v>
      </c>
      <c r="N51">
        <f>LEN(E51)</f>
        <v>7</v>
      </c>
    </row>
    <row r="52" spans="1:14" outlineLevel="2" x14ac:dyDescent="0.3">
      <c r="A52" s="4" t="s">
        <v>5229</v>
      </c>
      <c r="B52" s="4" t="s">
        <v>557</v>
      </c>
      <c r="C52" s="12">
        <v>33994</v>
      </c>
      <c r="D52" s="4" t="s">
        <v>1960</v>
      </c>
      <c r="E52" s="4" t="s">
        <v>2058</v>
      </c>
      <c r="F52" s="4" t="str">
        <f>IF(separador &gt; 0, LEFT(E52,separador - 1), E52)</f>
        <v>NW31 4PH</v>
      </c>
      <c r="G52" s="4" t="str">
        <f>IF(separador &gt; 0, RIGHT(E52,largo -separador - 1),"-")</f>
        <v>-</v>
      </c>
      <c r="H52" s="4" t="s">
        <v>4225</v>
      </c>
      <c r="I52" s="4" t="s">
        <v>3237</v>
      </c>
      <c r="J52" s="13">
        <v>41051.193148148152</v>
      </c>
      <c r="K52" s="4" t="s">
        <v>3668</v>
      </c>
      <c r="M52" s="4">
        <f>IFERROR(FIND(",",E52),0)</f>
        <v>0</v>
      </c>
      <c r="N52" s="4">
        <f>LEN(E52)</f>
        <v>8</v>
      </c>
    </row>
    <row r="53" spans="1:14" outlineLevel="2" x14ac:dyDescent="0.3">
      <c r="A53" t="s">
        <v>4908</v>
      </c>
      <c r="B53" t="s">
        <v>236</v>
      </c>
      <c r="C53" s="1">
        <v>33897</v>
      </c>
      <c r="D53" t="s">
        <v>1466</v>
      </c>
      <c r="E53" t="s">
        <v>1467</v>
      </c>
      <c r="F53" t="str">
        <f>IF(separador &gt; 0, LEFT(E53,separador - 1), E53)</f>
        <v>7489 Central Drive</v>
      </c>
      <c r="G53" t="str">
        <f>IF(separador &gt; 0, RIGHT(E53,largo -separador - 1),"-")</f>
        <v>-</v>
      </c>
      <c r="H53" t="s">
        <v>3904</v>
      </c>
      <c r="I53" t="s">
        <v>2919</v>
      </c>
      <c r="J53" s="2">
        <v>38926.735023148147</v>
      </c>
      <c r="K53" t="s">
        <v>3668</v>
      </c>
      <c r="M53">
        <f>IFERROR(FIND(",",E53),0)</f>
        <v>0</v>
      </c>
      <c r="N53">
        <f>LEN(E53)</f>
        <v>18</v>
      </c>
    </row>
    <row r="54" spans="1:14" outlineLevel="2" x14ac:dyDescent="0.3">
      <c r="A54" s="4" t="s">
        <v>5275</v>
      </c>
      <c r="B54" s="4" t="s">
        <v>603</v>
      </c>
      <c r="C54" s="12">
        <v>33708</v>
      </c>
      <c r="D54" s="4" t="s">
        <v>2119</v>
      </c>
      <c r="E54" s="4" t="s">
        <v>1960</v>
      </c>
      <c r="F54" s="4" t="str">
        <f>IF(separador &gt; 0, LEFT(E54,separador - 1), E54)</f>
        <v>London</v>
      </c>
      <c r="G54" s="4" t="str">
        <f>IF(separador &gt; 0, RIGHT(E54,largo -separador - 1),"-")</f>
        <v>-</v>
      </c>
      <c r="H54" s="4" t="s">
        <v>4271</v>
      </c>
      <c r="I54" s="4" t="s">
        <v>3281</v>
      </c>
      <c r="J54" s="13">
        <v>39419.307905092595</v>
      </c>
      <c r="K54" s="4" t="s">
        <v>3668</v>
      </c>
      <c r="M54" s="4">
        <f>IFERROR(FIND(",",E54),0)</f>
        <v>0</v>
      </c>
      <c r="N54" s="4">
        <f>LEN(E54)</f>
        <v>6</v>
      </c>
    </row>
    <row r="55" spans="1:14" outlineLevel="2" x14ac:dyDescent="0.3">
      <c r="A55" t="s">
        <v>5525</v>
      </c>
      <c r="B55" t="s">
        <v>853</v>
      </c>
      <c r="C55" s="1">
        <v>33630</v>
      </c>
      <c r="D55" t="s">
        <v>2507</v>
      </c>
      <c r="E55" t="s">
        <v>2508</v>
      </c>
      <c r="F55" t="str">
        <f>IF(separador &gt; 0, LEFT(E55,separador - 1), E55)</f>
        <v>Brooklyn</v>
      </c>
      <c r="G55" t="str">
        <f>IF(separador &gt; 0, RIGHT(E55,largo -separador - 1),"-")</f>
        <v>NY 11238</v>
      </c>
      <c r="H55" t="s">
        <v>4521</v>
      </c>
      <c r="I55" t="s">
        <v>3523</v>
      </c>
      <c r="J55" s="2">
        <v>42762.771909722222</v>
      </c>
      <c r="K55" t="s">
        <v>3668</v>
      </c>
      <c r="M55">
        <f>IFERROR(FIND(",",E55),0)</f>
        <v>9</v>
      </c>
      <c r="N55">
        <f>LEN(E55)</f>
        <v>18</v>
      </c>
    </row>
    <row r="56" spans="1:14" outlineLevel="2" x14ac:dyDescent="0.3">
      <c r="A56" s="4" t="s">
        <v>5032</v>
      </c>
      <c r="B56" s="4" t="s">
        <v>360</v>
      </c>
      <c r="C56" s="12">
        <v>33620</v>
      </c>
      <c r="D56" s="4" t="s">
        <v>1714</v>
      </c>
      <c r="E56" s="4" t="s">
        <v>1715</v>
      </c>
      <c r="F56" s="4" t="str">
        <f>IF(separador &gt; 0, LEFT(E56,separador - 1), E56)</f>
        <v>344 Summerhouse Ave.</v>
      </c>
      <c r="G56" s="4" t="str">
        <f>IF(separador &gt; 0, RIGHT(E56,largo -separador - 1),"-")</f>
        <v>-</v>
      </c>
      <c r="H56" s="4" t="s">
        <v>4028</v>
      </c>
      <c r="I56" s="4" t="s">
        <v>3042</v>
      </c>
      <c r="J56" s="13">
        <v>41377.94122685185</v>
      </c>
      <c r="K56" s="4" t="s">
        <v>3668</v>
      </c>
      <c r="M56" s="4">
        <f>IFERROR(FIND(",",E56),0)</f>
        <v>0</v>
      </c>
      <c r="N56" s="4">
        <f>LEN(E56)</f>
        <v>20</v>
      </c>
    </row>
    <row r="57" spans="1:14" outlineLevel="2" x14ac:dyDescent="0.3">
      <c r="A57" t="s">
        <v>5493</v>
      </c>
      <c r="B57" t="s">
        <v>821</v>
      </c>
      <c r="C57" s="1">
        <v>33483</v>
      </c>
      <c r="D57" t="s">
        <v>2444</v>
      </c>
      <c r="E57" t="s">
        <v>2445</v>
      </c>
      <c r="F57" t="str">
        <f>IF(separador &gt; 0, LEFT(E57,separador - 1), E57)</f>
        <v>Bronx</v>
      </c>
      <c r="G57" t="str">
        <f>IF(separador &gt; 0, RIGHT(E57,largo -separador - 1),"-")</f>
        <v>NY 10466</v>
      </c>
      <c r="H57" t="s">
        <v>4489</v>
      </c>
      <c r="I57" t="s">
        <v>3492</v>
      </c>
      <c r="J57" s="2">
        <v>38547.350185185183</v>
      </c>
      <c r="K57" t="s">
        <v>3668</v>
      </c>
      <c r="M57">
        <f>IFERROR(FIND(",",E57),0)</f>
        <v>6</v>
      </c>
      <c r="N57">
        <f>LEN(E57)</f>
        <v>15</v>
      </c>
    </row>
    <row r="58" spans="1:14" outlineLevel="2" x14ac:dyDescent="0.3">
      <c r="A58" s="4" t="s">
        <v>5247</v>
      </c>
      <c r="B58" s="4" t="s">
        <v>575</v>
      </c>
      <c r="C58" s="12">
        <v>33442</v>
      </c>
      <c r="D58" s="4" t="s">
        <v>1960</v>
      </c>
      <c r="E58" s="4" t="s">
        <v>2082</v>
      </c>
      <c r="F58" s="4" t="str">
        <f>IF(separador &gt; 0, LEFT(E58,separador - 1), E58)</f>
        <v>EC06 1BX</v>
      </c>
      <c r="G58" s="4" t="str">
        <f>IF(separador &gt; 0, RIGHT(E58,largo -separador - 1),"-")</f>
        <v>-</v>
      </c>
      <c r="H58" s="4" t="s">
        <v>4243</v>
      </c>
      <c r="I58" s="4" t="s">
        <v>2709</v>
      </c>
      <c r="J58" s="13">
        <v>44064.029710648145</v>
      </c>
      <c r="K58" s="4" t="s">
        <v>3668</v>
      </c>
      <c r="M58" s="4">
        <f>IFERROR(FIND(",",E58),0)</f>
        <v>0</v>
      </c>
      <c r="N58" s="4">
        <f>LEN(E58)</f>
        <v>8</v>
      </c>
    </row>
    <row r="59" spans="1:14" outlineLevel="2" x14ac:dyDescent="0.3">
      <c r="A59" t="s">
        <v>5425</v>
      </c>
      <c r="B59" t="s">
        <v>753</v>
      </c>
      <c r="C59" s="1">
        <v>33415</v>
      </c>
      <c r="D59" t="s">
        <v>2318</v>
      </c>
      <c r="E59" t="s">
        <v>1960</v>
      </c>
      <c r="F59" t="str">
        <f>IF(separador &gt; 0, LEFT(E59,separador - 1), E59)</f>
        <v>London</v>
      </c>
      <c r="G59" t="str">
        <f>IF(separador &gt; 0, RIGHT(E59,largo -separador - 1),"-")</f>
        <v>-</v>
      </c>
      <c r="H59" t="s">
        <v>4421</v>
      </c>
      <c r="I59" t="s">
        <v>2932</v>
      </c>
      <c r="J59" s="2">
        <v>42673.342824074076</v>
      </c>
      <c r="K59" t="s">
        <v>3668</v>
      </c>
      <c r="M59">
        <f>IFERROR(FIND(",",E59),0)</f>
        <v>0</v>
      </c>
      <c r="N59">
        <f>LEN(E59)</f>
        <v>6</v>
      </c>
    </row>
    <row r="60" spans="1:14" outlineLevel="2" x14ac:dyDescent="0.3">
      <c r="A60" s="4" t="s">
        <v>4960</v>
      </c>
      <c r="B60" s="4" t="s">
        <v>288</v>
      </c>
      <c r="C60" s="12">
        <v>33400</v>
      </c>
      <c r="D60" s="4" t="s">
        <v>1570</v>
      </c>
      <c r="E60" s="4" t="s">
        <v>1571</v>
      </c>
      <c r="F60" s="4" t="str">
        <f>IF(separador &gt; 0, LEFT(E60,separador - 1), E60)</f>
        <v>128 Richardson St.</v>
      </c>
      <c r="G60" s="4" t="str">
        <f>IF(separador &gt; 0, RIGHT(E60,largo -separador - 1),"-")</f>
        <v>-</v>
      </c>
      <c r="H60" s="4" t="s">
        <v>3956</v>
      </c>
      <c r="I60" s="4" t="s">
        <v>2971</v>
      </c>
      <c r="J60" s="13">
        <v>42995.284710648149</v>
      </c>
      <c r="K60" s="4" t="s">
        <v>3668</v>
      </c>
      <c r="M60" s="4">
        <f>IFERROR(FIND(",",E60),0)</f>
        <v>0</v>
      </c>
      <c r="N60" s="4">
        <f>LEN(E60)</f>
        <v>18</v>
      </c>
    </row>
    <row r="61" spans="1:14" outlineLevel="2" x14ac:dyDescent="0.3">
      <c r="A61" t="s">
        <v>4929</v>
      </c>
      <c r="B61" t="s">
        <v>257</v>
      </c>
      <c r="C61" s="1">
        <v>33340</v>
      </c>
      <c r="D61" t="s">
        <v>1508</v>
      </c>
      <c r="E61" t="s">
        <v>1509</v>
      </c>
      <c r="F61" t="str">
        <f>IF(separador &gt; 0, LEFT(E61,separador - 1), E61)</f>
        <v>617 Liberty Dr.</v>
      </c>
      <c r="G61" t="str">
        <f>IF(separador &gt; 0, RIGHT(E61,largo -separador - 1),"-")</f>
        <v>-</v>
      </c>
      <c r="H61" t="s">
        <v>3925</v>
      </c>
      <c r="I61" t="s">
        <v>2940</v>
      </c>
      <c r="J61" s="2">
        <v>40138.487928240742</v>
      </c>
      <c r="K61" t="s">
        <v>3668</v>
      </c>
      <c r="M61">
        <f>IFERROR(FIND(",",E61),0)</f>
        <v>0</v>
      </c>
      <c r="N61">
        <f>LEN(E61)</f>
        <v>15</v>
      </c>
    </row>
    <row r="62" spans="1:14" outlineLevel="2" x14ac:dyDescent="0.3">
      <c r="A62" s="4" t="s">
        <v>5035</v>
      </c>
      <c r="B62" s="4" t="s">
        <v>363</v>
      </c>
      <c r="C62" s="12">
        <v>33324</v>
      </c>
      <c r="D62" s="4" t="s">
        <v>1720</v>
      </c>
      <c r="E62" s="4" t="s">
        <v>1721</v>
      </c>
      <c r="F62" s="4" t="str">
        <f>IF(separador &gt; 0, LEFT(E62,separador - 1), E62)</f>
        <v>300 San Carlos Street</v>
      </c>
      <c r="G62" s="4" t="str">
        <f>IF(separador &gt; 0, RIGHT(E62,largo -separador - 1),"-")</f>
        <v>-</v>
      </c>
      <c r="H62" s="4" t="s">
        <v>4031</v>
      </c>
      <c r="I62" s="4" t="s">
        <v>3045</v>
      </c>
      <c r="J62" s="13">
        <v>41943.101666666669</v>
      </c>
      <c r="K62" s="4" t="s">
        <v>3668</v>
      </c>
      <c r="M62" s="4">
        <f>IFERROR(FIND(",",E62),0)</f>
        <v>0</v>
      </c>
      <c r="N62" s="4">
        <f>LEN(E62)</f>
        <v>21</v>
      </c>
    </row>
    <row r="63" spans="1:14" outlineLevel="2" x14ac:dyDescent="0.3">
      <c r="A63" t="s">
        <v>5166</v>
      </c>
      <c r="B63" t="s">
        <v>494</v>
      </c>
      <c r="C63" s="1">
        <v>33268</v>
      </c>
      <c r="D63" t="s">
        <v>1960</v>
      </c>
      <c r="E63" t="s">
        <v>1975</v>
      </c>
      <c r="F63" t="str">
        <f>IF(separador &gt; 0, LEFT(E63,separador - 1), E63)</f>
        <v>N51 9IV</v>
      </c>
      <c r="G63" t="str">
        <f>IF(separador &gt; 0, RIGHT(E63,largo -separador - 1),"-")</f>
        <v>-</v>
      </c>
      <c r="H63" t="s">
        <v>4162</v>
      </c>
      <c r="I63" t="s">
        <v>3174</v>
      </c>
      <c r="J63" s="2">
        <v>41373.765300925923</v>
      </c>
      <c r="K63" t="s">
        <v>3668</v>
      </c>
      <c r="M63">
        <f>IFERROR(FIND(",",E63),0)</f>
        <v>0</v>
      </c>
      <c r="N63">
        <f>LEN(E63)</f>
        <v>7</v>
      </c>
    </row>
    <row r="64" spans="1:14" outlineLevel="2" x14ac:dyDescent="0.3">
      <c r="A64" s="4" t="s">
        <v>5273</v>
      </c>
      <c r="B64" s="4" t="s">
        <v>601</v>
      </c>
      <c r="C64" s="12">
        <v>33208</v>
      </c>
      <c r="D64" s="4" t="s">
        <v>2116</v>
      </c>
      <c r="E64" s="4" t="s">
        <v>2117</v>
      </c>
      <c r="F64" s="4" t="str">
        <f>IF(separador &gt; 0, LEFT(E64,separador - 1), E64)</f>
        <v>17 Manchester Road</v>
      </c>
      <c r="G64" s="4" t="str">
        <f>IF(separador &gt; 0, RIGHT(E64,largo -separador - 1),"-")</f>
        <v>-</v>
      </c>
      <c r="H64" s="4" t="s">
        <v>4269</v>
      </c>
      <c r="I64" s="4" t="s">
        <v>3279</v>
      </c>
      <c r="J64" s="13">
        <v>41605.891493055555</v>
      </c>
      <c r="K64" s="4" t="s">
        <v>3668</v>
      </c>
      <c r="M64" s="4">
        <f>IFERROR(FIND(",",E64),0)</f>
        <v>0</v>
      </c>
      <c r="N64" s="4">
        <f>LEN(E64)</f>
        <v>18</v>
      </c>
    </row>
    <row r="65" spans="1:14" outlineLevel="2" x14ac:dyDescent="0.3">
      <c r="A65" t="s">
        <v>4683</v>
      </c>
      <c r="B65" t="s">
        <v>11</v>
      </c>
      <c r="C65" s="1">
        <v>33204</v>
      </c>
      <c r="D65" t="s">
        <v>1016</v>
      </c>
      <c r="E65" t="s">
        <v>1017</v>
      </c>
      <c r="F65" t="str">
        <f>IF(separador &gt; 0, LEFT(E65,separador - 1), E65)</f>
        <v>Lawrence</v>
      </c>
      <c r="G65" t="str">
        <f>IF(separador &gt; 0, RIGHT(E65,largo -separador - 1),"-")</f>
        <v>MA 01841</v>
      </c>
      <c r="H65" t="s">
        <v>3679</v>
      </c>
      <c r="I65" t="s">
        <v>2697</v>
      </c>
      <c r="J65" s="2">
        <v>43746.669942129629</v>
      </c>
      <c r="K65" t="s">
        <v>3668</v>
      </c>
      <c r="M65">
        <f>IFERROR(FIND(",",E65),0)</f>
        <v>9</v>
      </c>
      <c r="N65">
        <f>LEN(E65)</f>
        <v>18</v>
      </c>
    </row>
    <row r="66" spans="1:14" outlineLevel="2" x14ac:dyDescent="0.3">
      <c r="A66" s="4" t="s">
        <v>5626</v>
      </c>
      <c r="B66" s="4" t="s">
        <v>954</v>
      </c>
      <c r="C66" s="12">
        <v>33187</v>
      </c>
      <c r="D66" s="4" t="s">
        <v>2641</v>
      </c>
      <c r="E66" s="4" t="s">
        <v>2427</v>
      </c>
      <c r="F66" s="4" t="str">
        <f>IF(separador &gt; 0, LEFT(E66,separador - 1), E66)</f>
        <v>Staten Island</v>
      </c>
      <c r="G66" s="4" t="str">
        <f>IF(separador &gt; 0, RIGHT(E66,largo -separador - 1),"-")</f>
        <v>NY 10306</v>
      </c>
      <c r="H66" s="4" t="s">
        <v>4622</v>
      </c>
      <c r="I66" s="4" t="s">
        <v>3622</v>
      </c>
      <c r="J66" s="13">
        <v>43130.435057870367</v>
      </c>
      <c r="K66" s="4" t="s">
        <v>3668</v>
      </c>
      <c r="M66" s="4">
        <f>IFERROR(FIND(",",E66),0)</f>
        <v>14</v>
      </c>
      <c r="N66" s="4">
        <f>LEN(E66)</f>
        <v>23</v>
      </c>
    </row>
    <row r="67" spans="1:14" outlineLevel="2" x14ac:dyDescent="0.3">
      <c r="A67" t="s">
        <v>5095</v>
      </c>
      <c r="B67" t="s">
        <v>423</v>
      </c>
      <c r="C67" s="1">
        <v>33134</v>
      </c>
      <c r="D67" t="s">
        <v>1839</v>
      </c>
      <c r="E67" t="s">
        <v>1840</v>
      </c>
      <c r="F67" t="str">
        <f>IF(separador &gt; 0, LEFT(E67,separador - 1), E67)</f>
        <v>422 Cedar St.</v>
      </c>
      <c r="G67" t="str">
        <f>IF(separador &gt; 0, RIGHT(E67,largo -separador - 1),"-")</f>
        <v>-</v>
      </c>
      <c r="H67" t="s">
        <v>4091</v>
      </c>
      <c r="I67" t="s">
        <v>3105</v>
      </c>
      <c r="J67" s="2">
        <v>43104.504826388889</v>
      </c>
      <c r="K67" t="s">
        <v>3668</v>
      </c>
      <c r="M67">
        <f>IFERROR(FIND(",",E67),0)</f>
        <v>0</v>
      </c>
      <c r="N67">
        <f>LEN(E67)</f>
        <v>13</v>
      </c>
    </row>
    <row r="68" spans="1:14" outlineLevel="2" x14ac:dyDescent="0.3">
      <c r="A68" s="4" t="s">
        <v>5557</v>
      </c>
      <c r="B68" s="4" t="s">
        <v>885</v>
      </c>
      <c r="C68" s="12">
        <v>33102</v>
      </c>
      <c r="D68" s="4" t="s">
        <v>2571</v>
      </c>
      <c r="E68" s="4" t="s">
        <v>2572</v>
      </c>
      <c r="F68" s="4" t="str">
        <f>IF(separador &gt; 0, LEFT(E68,separador - 1), E68)</f>
        <v>Troy</v>
      </c>
      <c r="G68" s="4" t="str">
        <f>IF(separador &gt; 0, RIGHT(E68,largo -separador - 1),"-")</f>
        <v>NY 12180</v>
      </c>
      <c r="H68" s="4" t="s">
        <v>4553</v>
      </c>
      <c r="I68" s="4" t="s">
        <v>3555</v>
      </c>
      <c r="J68" s="13">
        <v>40360.030034722222</v>
      </c>
      <c r="K68" s="4" t="s">
        <v>3668</v>
      </c>
      <c r="M68" s="4">
        <f>IFERROR(FIND(",",E68),0)</f>
        <v>5</v>
      </c>
      <c r="N68" s="4">
        <f>LEN(E68)</f>
        <v>14</v>
      </c>
    </row>
    <row r="69" spans="1:14" outlineLevel="2" x14ac:dyDescent="0.3">
      <c r="A69" t="s">
        <v>5017</v>
      </c>
      <c r="B69" t="s">
        <v>345</v>
      </c>
      <c r="C69" s="1">
        <v>33092</v>
      </c>
      <c r="D69" t="s">
        <v>1684</v>
      </c>
      <c r="E69" t="s">
        <v>1685</v>
      </c>
      <c r="F69" t="str">
        <f>IF(separador &gt; 0, LEFT(E69,separador - 1), E69)</f>
        <v>7270 Shadow Brook Dr.</v>
      </c>
      <c r="G69" t="str">
        <f>IF(separador &gt; 0, RIGHT(E69,largo -separador - 1),"-")</f>
        <v>-</v>
      </c>
      <c r="H69" t="s">
        <v>4013</v>
      </c>
      <c r="I69" t="s">
        <v>3027</v>
      </c>
      <c r="J69" s="2">
        <v>44074.103321759256</v>
      </c>
      <c r="K69" t="s">
        <v>3668</v>
      </c>
      <c r="M69">
        <f>IFERROR(FIND(",",E69),0)</f>
        <v>0</v>
      </c>
      <c r="N69">
        <f>LEN(E69)</f>
        <v>21</v>
      </c>
    </row>
    <row r="70" spans="1:14" outlineLevel="2" x14ac:dyDescent="0.3">
      <c r="A70" s="4" t="s">
        <v>5277</v>
      </c>
      <c r="B70" s="4" t="s">
        <v>605</v>
      </c>
      <c r="C70" s="12">
        <v>32982</v>
      </c>
      <c r="D70" s="4" t="s">
        <v>1960</v>
      </c>
      <c r="E70" s="4" t="s">
        <v>2122</v>
      </c>
      <c r="F70" s="4" t="str">
        <f>IF(separador &gt; 0, LEFT(E70,separador - 1), E70)</f>
        <v>SW21 0LV</v>
      </c>
      <c r="G70" s="4" t="str">
        <f>IF(separador &gt; 0, RIGHT(E70,largo -separador - 1),"-")</f>
        <v>-</v>
      </c>
      <c r="H70" s="4" t="s">
        <v>4273</v>
      </c>
      <c r="I70" s="4" t="s">
        <v>3283</v>
      </c>
      <c r="J70" s="13">
        <v>39297.459386574075</v>
      </c>
      <c r="K70" s="4" t="s">
        <v>3668</v>
      </c>
      <c r="M70" s="4">
        <f>IFERROR(FIND(",",E70),0)</f>
        <v>0</v>
      </c>
      <c r="N70" s="4">
        <f>LEN(E70)</f>
        <v>8</v>
      </c>
    </row>
    <row r="71" spans="1:14" outlineLevel="2" x14ac:dyDescent="0.3">
      <c r="A71" t="s">
        <v>4733</v>
      </c>
      <c r="B71" t="s">
        <v>61</v>
      </c>
      <c r="C71" s="1">
        <v>32865</v>
      </c>
      <c r="D71" t="s">
        <v>1116</v>
      </c>
      <c r="E71" t="s">
        <v>1117</v>
      </c>
      <c r="F71" t="str">
        <f>IF(separador &gt; 0, LEFT(E71,separador - 1), E71)</f>
        <v>9896 New Road</v>
      </c>
      <c r="G71" t="str">
        <f>IF(separador &gt; 0, RIGHT(E71,largo -separador - 1),"-")</f>
        <v>-</v>
      </c>
      <c r="H71" t="s">
        <v>3729</v>
      </c>
      <c r="I71" t="s">
        <v>2747</v>
      </c>
      <c r="J71" s="2">
        <v>41651.195277777777</v>
      </c>
      <c r="K71" t="s">
        <v>3668</v>
      </c>
      <c r="M71">
        <f>IFERROR(FIND(",",E71),0)</f>
        <v>0</v>
      </c>
      <c r="N71">
        <f>LEN(E71)</f>
        <v>13</v>
      </c>
    </row>
    <row r="72" spans="1:14" outlineLevel="2" x14ac:dyDescent="0.3">
      <c r="A72" s="4" t="s">
        <v>4797</v>
      </c>
      <c r="B72" s="4" t="s">
        <v>125</v>
      </c>
      <c r="C72" s="12">
        <v>32838</v>
      </c>
      <c r="D72" s="4" t="s">
        <v>1244</v>
      </c>
      <c r="E72" s="4" t="s">
        <v>1245</v>
      </c>
      <c r="F72" s="4" t="str">
        <f>IF(separador &gt; 0, LEFT(E72,separador - 1), E72)</f>
        <v>El Cajon</v>
      </c>
      <c r="G72" s="4" t="str">
        <f>IF(separador &gt; 0, RIGHT(E72,largo -separador - 1),"-")</f>
        <v>CA 92021</v>
      </c>
      <c r="H72" s="4" t="s">
        <v>3793</v>
      </c>
      <c r="I72" s="4" t="s">
        <v>2811</v>
      </c>
      <c r="J72" s="13">
        <v>44059.279004629629</v>
      </c>
      <c r="K72" s="4" t="s">
        <v>3668</v>
      </c>
      <c r="M72" s="4">
        <f>IFERROR(FIND(",",E72),0)</f>
        <v>9</v>
      </c>
      <c r="N72" s="4">
        <f>LEN(E72)</f>
        <v>18</v>
      </c>
    </row>
    <row r="73" spans="1:14" outlineLevel="2" x14ac:dyDescent="0.3">
      <c r="A73" t="s">
        <v>5582</v>
      </c>
      <c r="B73" t="s">
        <v>910</v>
      </c>
      <c r="C73" s="1">
        <v>32837</v>
      </c>
      <c r="D73" t="s">
        <v>2597</v>
      </c>
      <c r="E73" t="s">
        <v>2391</v>
      </c>
      <c r="F73" t="str">
        <f>IF(separador &gt; 0, LEFT(E73,separador - 1), E73)</f>
        <v>East Elmhurst</v>
      </c>
      <c r="G73" t="str">
        <f>IF(separador &gt; 0, RIGHT(E73,largo -separador - 1),"-")</f>
        <v>NY 11370</v>
      </c>
      <c r="H73" t="s">
        <v>4578</v>
      </c>
      <c r="I73" t="s">
        <v>3580</v>
      </c>
      <c r="J73" s="2">
        <v>42164.290405092594</v>
      </c>
      <c r="K73" t="s">
        <v>3668</v>
      </c>
      <c r="M73">
        <f>IFERROR(FIND(",",E73),0)</f>
        <v>14</v>
      </c>
      <c r="N73">
        <f>LEN(E73)</f>
        <v>23</v>
      </c>
    </row>
    <row r="74" spans="1:14" outlineLevel="2" x14ac:dyDescent="0.3">
      <c r="A74" s="4" t="s">
        <v>5661</v>
      </c>
      <c r="B74" s="4" t="s">
        <v>989</v>
      </c>
      <c r="C74" s="12">
        <v>32774</v>
      </c>
      <c r="D74" s="4" t="s">
        <v>2676</v>
      </c>
      <c r="E74" s="4" t="s">
        <v>2532</v>
      </c>
      <c r="F74" s="4" t="str">
        <f>IF(separador &gt; 0, LEFT(E74,separador - 1), E74)</f>
        <v>Brentwood</v>
      </c>
      <c r="G74" s="4" t="str">
        <f>IF(separador &gt; 0, RIGHT(E74,largo -separador - 1),"-")</f>
        <v>NY 11717</v>
      </c>
      <c r="H74" s="4" t="s">
        <v>4657</v>
      </c>
      <c r="I74" s="4" t="s">
        <v>3095</v>
      </c>
      <c r="J74" s="13">
        <v>42121.8362037037</v>
      </c>
      <c r="K74" s="4" t="s">
        <v>3668</v>
      </c>
      <c r="M74" s="4">
        <f>IFERROR(FIND(",",E74),0)</f>
        <v>10</v>
      </c>
      <c r="N74" s="4">
        <f>LEN(E74)</f>
        <v>19</v>
      </c>
    </row>
    <row r="75" spans="1:14" outlineLevel="2" x14ac:dyDescent="0.3">
      <c r="A75" t="s">
        <v>5588</v>
      </c>
      <c r="B75" t="s">
        <v>916</v>
      </c>
      <c r="C75" s="1">
        <v>32632</v>
      </c>
      <c r="D75" t="s">
        <v>2603</v>
      </c>
      <c r="E75" t="s">
        <v>2429</v>
      </c>
      <c r="F75" t="str">
        <f>IF(separador &gt; 0, LEFT(E75,separador - 1), E75)</f>
        <v>New York</v>
      </c>
      <c r="G75" t="str">
        <f>IF(separador &gt; 0, RIGHT(E75,largo -separador - 1),"-")</f>
        <v>NY 10028</v>
      </c>
      <c r="H75" t="s">
        <v>4584</v>
      </c>
      <c r="I75" t="s">
        <v>3586</v>
      </c>
      <c r="J75" s="2">
        <v>43934.65252314815</v>
      </c>
      <c r="K75" t="s">
        <v>3668</v>
      </c>
      <c r="M75">
        <f>IFERROR(FIND(",",E75),0)</f>
        <v>9</v>
      </c>
      <c r="N75">
        <f>LEN(E75)</f>
        <v>18</v>
      </c>
    </row>
    <row r="76" spans="1:14" outlineLevel="2" x14ac:dyDescent="0.3">
      <c r="A76" s="4" t="s">
        <v>4884</v>
      </c>
      <c r="B76" s="4" t="s">
        <v>212</v>
      </c>
      <c r="C76" s="12">
        <v>32536</v>
      </c>
      <c r="D76" s="4" t="s">
        <v>1418</v>
      </c>
      <c r="E76" s="4" t="s">
        <v>1419</v>
      </c>
      <c r="F76" s="4" t="str">
        <f>IF(separador &gt; 0, LEFT(E76,separador - 1), E76)</f>
        <v>7732 Cobblestone Lane</v>
      </c>
      <c r="G76" s="4" t="str">
        <f>IF(separador &gt; 0, RIGHT(E76,largo -separador - 1),"-")</f>
        <v>-</v>
      </c>
      <c r="H76" s="4" t="s">
        <v>3880</v>
      </c>
      <c r="I76" s="4" t="s">
        <v>2896</v>
      </c>
      <c r="J76" s="13">
        <v>40993.195543981485</v>
      </c>
      <c r="K76" s="4" t="s">
        <v>3668</v>
      </c>
      <c r="M76" s="4">
        <f>IFERROR(FIND(",",E76),0)</f>
        <v>0</v>
      </c>
      <c r="N76" s="4">
        <f>LEN(E76)</f>
        <v>21</v>
      </c>
    </row>
    <row r="77" spans="1:14" outlineLevel="2" x14ac:dyDescent="0.3">
      <c r="A77" t="s">
        <v>5384</v>
      </c>
      <c r="B77" t="s">
        <v>712</v>
      </c>
      <c r="C77" s="1">
        <v>32517</v>
      </c>
      <c r="D77" t="s">
        <v>2263</v>
      </c>
      <c r="E77" t="s">
        <v>2264</v>
      </c>
      <c r="F77" t="str">
        <f>IF(separador &gt; 0, LEFT(E77,separador - 1), E77)</f>
        <v>9833 Main Road</v>
      </c>
      <c r="G77" t="str">
        <f>IF(separador &gt; 0, RIGHT(E77,largo -separador - 1),"-")</f>
        <v>-</v>
      </c>
      <c r="H77" t="s">
        <v>4380</v>
      </c>
      <c r="I77" t="s">
        <v>3387</v>
      </c>
      <c r="J77" s="2">
        <v>41786.562685185185</v>
      </c>
      <c r="K77" t="s">
        <v>3668</v>
      </c>
      <c r="M77">
        <f>IFERROR(FIND(",",E77),0)</f>
        <v>0</v>
      </c>
      <c r="N77">
        <f>LEN(E77)</f>
        <v>14</v>
      </c>
    </row>
    <row r="78" spans="1:14" outlineLevel="2" x14ac:dyDescent="0.3">
      <c r="A78" s="4" t="s">
        <v>5506</v>
      </c>
      <c r="B78" s="4" t="s">
        <v>834</v>
      </c>
      <c r="C78" s="12">
        <v>32488</v>
      </c>
      <c r="D78" s="4" t="s">
        <v>2469</v>
      </c>
      <c r="E78" s="4" t="s">
        <v>2470</v>
      </c>
      <c r="F78" s="4" t="str">
        <f>IF(separador &gt; 0, LEFT(E78,separador - 1), E78)</f>
        <v>Middletown</v>
      </c>
      <c r="G78" s="4" t="str">
        <f>IF(separador &gt; 0, RIGHT(E78,largo -separador - 1),"-")</f>
        <v>NY 10940</v>
      </c>
      <c r="H78" s="4" t="s">
        <v>4502</v>
      </c>
      <c r="I78" s="4" t="s">
        <v>3505</v>
      </c>
      <c r="J78" s="13">
        <v>40188.946574074071</v>
      </c>
      <c r="K78" s="4" t="s">
        <v>3668</v>
      </c>
      <c r="M78" s="4">
        <f>IFERROR(FIND(",",E78),0)</f>
        <v>11</v>
      </c>
      <c r="N78" s="4">
        <f>LEN(E78)</f>
        <v>20</v>
      </c>
    </row>
    <row r="79" spans="1:14" outlineLevel="2" x14ac:dyDescent="0.3">
      <c r="A79" t="s">
        <v>5255</v>
      </c>
      <c r="B79" t="s">
        <v>583</v>
      </c>
      <c r="C79" s="1">
        <v>32453</v>
      </c>
      <c r="D79" t="s">
        <v>2092</v>
      </c>
      <c r="E79" t="s">
        <v>2093</v>
      </c>
      <c r="F79" t="str">
        <f>IF(separador &gt; 0, LEFT(E79,separador - 1), E79)</f>
        <v>16 School Lane</v>
      </c>
      <c r="G79" t="str">
        <f>IF(separador &gt; 0, RIGHT(E79,largo -separador - 1),"-")</f>
        <v>-</v>
      </c>
      <c r="H79" t="s">
        <v>4251</v>
      </c>
      <c r="I79" t="s">
        <v>3261</v>
      </c>
      <c r="J79" s="2">
        <v>40199.992164351854</v>
      </c>
      <c r="K79" t="s">
        <v>3668</v>
      </c>
      <c r="M79">
        <f>IFERROR(FIND(",",E79),0)</f>
        <v>0</v>
      </c>
      <c r="N79">
        <f>LEN(E79)</f>
        <v>14</v>
      </c>
    </row>
    <row r="80" spans="1:14" outlineLevel="2" x14ac:dyDescent="0.3">
      <c r="A80" s="4" t="s">
        <v>4827</v>
      </c>
      <c r="B80" s="4" t="s">
        <v>155</v>
      </c>
      <c r="C80" s="12">
        <v>32357</v>
      </c>
      <c r="D80" s="4" t="s">
        <v>1304</v>
      </c>
      <c r="E80" s="4" t="s">
        <v>1305</v>
      </c>
      <c r="F80" s="4" t="str">
        <f>IF(separador &gt; 0, LEFT(E80,separador - 1), E80)</f>
        <v>Bellflower</v>
      </c>
      <c r="G80" s="4" t="str">
        <f>IF(separador &gt; 0, RIGHT(E80,largo -separador - 1),"-")</f>
        <v>CA 90706</v>
      </c>
      <c r="H80" s="4" t="s">
        <v>3823</v>
      </c>
      <c r="I80" s="4" t="s">
        <v>2841</v>
      </c>
      <c r="J80" s="13">
        <v>44193.150995370372</v>
      </c>
      <c r="K80" s="4" t="s">
        <v>3668</v>
      </c>
      <c r="M80" s="4">
        <f>IFERROR(FIND(",",E80),0)</f>
        <v>11</v>
      </c>
      <c r="N80" s="4">
        <f>LEN(E80)</f>
        <v>20</v>
      </c>
    </row>
    <row r="81" spans="1:14" outlineLevel="2" x14ac:dyDescent="0.3">
      <c r="A81" t="s">
        <v>5613</v>
      </c>
      <c r="B81" t="s">
        <v>941</v>
      </c>
      <c r="C81" s="1">
        <v>32353</v>
      </c>
      <c r="D81" t="s">
        <v>2628</v>
      </c>
      <c r="E81" t="s">
        <v>2472</v>
      </c>
      <c r="F81" t="str">
        <f>IF(separador &gt; 0, LEFT(E81,separador - 1), E81)</f>
        <v>New York</v>
      </c>
      <c r="G81" t="str">
        <f>IF(separador &gt; 0, RIGHT(E81,largo -separador - 1),"-")</f>
        <v>NY 10027</v>
      </c>
      <c r="H81" t="s">
        <v>4609</v>
      </c>
      <c r="I81" t="s">
        <v>3610</v>
      </c>
      <c r="J81" s="2">
        <v>40999.297997685186</v>
      </c>
      <c r="K81" t="s">
        <v>3668</v>
      </c>
      <c r="M81">
        <f>IFERROR(FIND(",",E81),0)</f>
        <v>9</v>
      </c>
      <c r="N81">
        <f>LEN(E81)</f>
        <v>18</v>
      </c>
    </row>
    <row r="82" spans="1:14" outlineLevel="2" x14ac:dyDescent="0.3">
      <c r="A82" s="4" t="s">
        <v>4695</v>
      </c>
      <c r="B82" s="4" t="s">
        <v>23</v>
      </c>
      <c r="C82" s="12">
        <v>32306</v>
      </c>
      <c r="D82" s="4" t="s">
        <v>1040</v>
      </c>
      <c r="E82" s="4" t="s">
        <v>1041</v>
      </c>
      <c r="F82" s="4" t="str">
        <f>IF(separador &gt; 0, LEFT(E82,separador - 1), E82)</f>
        <v>Bridgeton</v>
      </c>
      <c r="G82" s="4" t="str">
        <f>IF(separador &gt; 0, RIGHT(E82,largo -separador - 1),"-")</f>
        <v>NJ 08302</v>
      </c>
      <c r="H82" s="4" t="s">
        <v>3691</v>
      </c>
      <c r="I82" s="4" t="s">
        <v>2709</v>
      </c>
      <c r="J82" s="13">
        <v>40963.318784722222</v>
      </c>
      <c r="K82" s="4" t="s">
        <v>3668</v>
      </c>
      <c r="M82" s="4">
        <f>IFERROR(FIND(",",E82),0)</f>
        <v>10</v>
      </c>
      <c r="N82" s="4">
        <f>LEN(E82)</f>
        <v>19</v>
      </c>
    </row>
    <row r="83" spans="1:14" outlineLevel="2" x14ac:dyDescent="0.3">
      <c r="A83" t="s">
        <v>5237</v>
      </c>
      <c r="B83" t="s">
        <v>565</v>
      </c>
      <c r="C83" s="1">
        <v>32296</v>
      </c>
      <c r="D83" t="s">
        <v>2068</v>
      </c>
      <c r="E83" t="s">
        <v>2069</v>
      </c>
      <c r="F83" t="str">
        <f>IF(separador &gt; 0, LEFT(E83,separador - 1), E83)</f>
        <v>72 Queen Street</v>
      </c>
      <c r="G83" t="str">
        <f>IF(separador &gt; 0, RIGHT(E83,largo -separador - 1),"-")</f>
        <v>-</v>
      </c>
      <c r="H83" t="s">
        <v>4233</v>
      </c>
      <c r="I83" t="s">
        <v>3245</v>
      </c>
      <c r="J83" s="2">
        <v>41012.15216435185</v>
      </c>
      <c r="K83" t="s">
        <v>3668</v>
      </c>
      <c r="M83">
        <f>IFERROR(FIND(",",E83),0)</f>
        <v>0</v>
      </c>
      <c r="N83">
        <f>LEN(E83)</f>
        <v>15</v>
      </c>
    </row>
    <row r="84" spans="1:14" outlineLevel="2" x14ac:dyDescent="0.3">
      <c r="A84" s="4" t="s">
        <v>4795</v>
      </c>
      <c r="B84" s="4" t="s">
        <v>123</v>
      </c>
      <c r="C84" s="12">
        <v>32259</v>
      </c>
      <c r="D84" s="4" t="s">
        <v>1240</v>
      </c>
      <c r="E84" s="4" t="s">
        <v>1241</v>
      </c>
      <c r="F84" s="4" t="str">
        <f>IF(separador &gt; 0, LEFT(E84,separador - 1), E84)</f>
        <v>Palmdale</v>
      </c>
      <c r="G84" s="4" t="str">
        <f>IF(separador &gt; 0, RIGHT(E84,largo -separador - 1),"-")</f>
        <v>CA 93550</v>
      </c>
      <c r="H84" s="4" t="s">
        <v>3791</v>
      </c>
      <c r="I84" s="4" t="s">
        <v>2809</v>
      </c>
      <c r="J84" s="13">
        <v>40643.893692129626</v>
      </c>
      <c r="K84" s="4" t="s">
        <v>3668</v>
      </c>
      <c r="M84" s="4">
        <f>IFERROR(FIND(",",E84),0)</f>
        <v>9</v>
      </c>
      <c r="N84" s="4">
        <f>LEN(E84)</f>
        <v>18</v>
      </c>
    </row>
    <row r="85" spans="1:14" outlineLevel="2" x14ac:dyDescent="0.3">
      <c r="A85" t="s">
        <v>4914</v>
      </c>
      <c r="B85" t="s">
        <v>242</v>
      </c>
      <c r="C85" s="1">
        <v>32221</v>
      </c>
      <c r="D85" t="s">
        <v>1478</v>
      </c>
      <c r="E85" t="s">
        <v>1479</v>
      </c>
      <c r="F85" t="str">
        <f>IF(separador &gt; 0, LEFT(E85,separador - 1), E85)</f>
        <v>988 Bohemia Dr.</v>
      </c>
      <c r="G85" t="str">
        <f>IF(separador &gt; 0, RIGHT(E85,largo -separador - 1),"-")</f>
        <v>-</v>
      </c>
      <c r="H85" t="s">
        <v>3910</v>
      </c>
      <c r="I85" t="s">
        <v>2925</v>
      </c>
      <c r="J85" s="2">
        <v>39491.522604166668</v>
      </c>
      <c r="K85" t="s">
        <v>3668</v>
      </c>
      <c r="M85">
        <f>IFERROR(FIND(",",E85),0)</f>
        <v>0</v>
      </c>
      <c r="N85">
        <f>LEN(E85)</f>
        <v>15</v>
      </c>
    </row>
    <row r="86" spans="1:14" outlineLevel="2" x14ac:dyDescent="0.3">
      <c r="A86" s="4" t="s">
        <v>5330</v>
      </c>
      <c r="B86" s="4" t="s">
        <v>658</v>
      </c>
      <c r="C86" s="12">
        <v>32173</v>
      </c>
      <c r="D86" s="4" t="s">
        <v>2192</v>
      </c>
      <c r="E86" s="4" t="s">
        <v>2193</v>
      </c>
      <c r="F86" s="4" t="str">
        <f>IF(separador &gt; 0, LEFT(E86,separador - 1), E86)</f>
        <v>99 High Street</v>
      </c>
      <c r="G86" s="4" t="str">
        <f>IF(separador &gt; 0, RIGHT(E86,largo -separador - 1),"-")</f>
        <v>-</v>
      </c>
      <c r="H86" s="4" t="s">
        <v>4326</v>
      </c>
      <c r="I86" s="4" t="s">
        <v>3335</v>
      </c>
      <c r="J86" s="13">
        <v>42309.898298611108</v>
      </c>
      <c r="K86" s="4" t="s">
        <v>3668</v>
      </c>
      <c r="M86" s="4">
        <f>IFERROR(FIND(",",E86),0)</f>
        <v>0</v>
      </c>
      <c r="N86" s="4">
        <f>LEN(E86)</f>
        <v>14</v>
      </c>
    </row>
    <row r="87" spans="1:14" outlineLevel="2" x14ac:dyDescent="0.3">
      <c r="A87" t="s">
        <v>4774</v>
      </c>
      <c r="B87" t="s">
        <v>102</v>
      </c>
      <c r="C87" s="1">
        <v>32148</v>
      </c>
      <c r="D87" t="s">
        <v>1198</v>
      </c>
      <c r="E87" t="s">
        <v>1199</v>
      </c>
      <c r="F87" t="str">
        <f>IF(separador &gt; 0, LEFT(E87,separador - 1), E87)</f>
        <v>BRADFORD</v>
      </c>
      <c r="G87" t="str">
        <f>IF(separador &gt; 0, RIGHT(E87,largo -separador - 1),"-")</f>
        <v>-</v>
      </c>
      <c r="H87" t="s">
        <v>3770</v>
      </c>
      <c r="I87" t="s">
        <v>2788</v>
      </c>
      <c r="J87" s="2">
        <v>44258.098425925928</v>
      </c>
      <c r="K87" t="s">
        <v>3668</v>
      </c>
      <c r="M87">
        <f>IFERROR(FIND(",",E87),0)</f>
        <v>0</v>
      </c>
      <c r="N87">
        <f>LEN(E87)</f>
        <v>8</v>
      </c>
    </row>
    <row r="88" spans="1:14" outlineLevel="2" x14ac:dyDescent="0.3">
      <c r="A88" s="4" t="s">
        <v>5288</v>
      </c>
      <c r="B88" s="4" t="s">
        <v>616</v>
      </c>
      <c r="C88" s="12">
        <v>32146</v>
      </c>
      <c r="D88" s="4" t="s">
        <v>2136</v>
      </c>
      <c r="E88" s="4" t="s">
        <v>2137</v>
      </c>
      <c r="F88" s="4" t="str">
        <f>IF(separador &gt; 0, LEFT(E88,separador - 1), E88)</f>
        <v>382 West Street</v>
      </c>
      <c r="G88" s="4" t="str">
        <f>IF(separador &gt; 0, RIGHT(E88,largo -separador - 1),"-")</f>
        <v>-</v>
      </c>
      <c r="H88" s="4" t="s">
        <v>4284</v>
      </c>
      <c r="I88" s="4" t="s">
        <v>3294</v>
      </c>
      <c r="J88" s="13">
        <v>38762.82540509259</v>
      </c>
      <c r="K88" s="4" t="s">
        <v>3668</v>
      </c>
      <c r="M88" s="4">
        <f>IFERROR(FIND(",",E88),0)</f>
        <v>0</v>
      </c>
      <c r="N88" s="4">
        <f>LEN(E88)</f>
        <v>15</v>
      </c>
    </row>
    <row r="89" spans="1:14" outlineLevel="2" x14ac:dyDescent="0.3">
      <c r="A89" t="s">
        <v>5558</v>
      </c>
      <c r="B89" t="s">
        <v>886</v>
      </c>
      <c r="C89" s="1">
        <v>32141</v>
      </c>
      <c r="D89" t="s">
        <v>2573</v>
      </c>
      <c r="E89" t="s">
        <v>2386</v>
      </c>
      <c r="F89" t="str">
        <f>IF(separador &gt; 0, LEFT(E89,separador - 1), E89)</f>
        <v>Astoria</v>
      </c>
      <c r="G89" t="str">
        <f>IF(separador &gt; 0, RIGHT(E89,largo -separador - 1),"-")</f>
        <v>NY 11105</v>
      </c>
      <c r="H89" t="s">
        <v>4554</v>
      </c>
      <c r="I89" t="s">
        <v>3556</v>
      </c>
      <c r="J89" s="2">
        <v>41120.332476851851</v>
      </c>
      <c r="K89" t="s">
        <v>3668</v>
      </c>
      <c r="M89">
        <f>IFERROR(FIND(",",E89),0)</f>
        <v>8</v>
      </c>
      <c r="N89">
        <f>LEN(E89)</f>
        <v>17</v>
      </c>
    </row>
    <row r="90" spans="1:14" outlineLevel="2" x14ac:dyDescent="0.3">
      <c r="A90" s="4" t="s">
        <v>4820</v>
      </c>
      <c r="B90" s="4" t="s">
        <v>148</v>
      </c>
      <c r="C90" s="12">
        <v>32084</v>
      </c>
      <c r="D90" s="4" t="s">
        <v>1290</v>
      </c>
      <c r="E90" s="4" t="s">
        <v>1291</v>
      </c>
      <c r="F90" s="4" t="str">
        <f>IF(separador &gt; 0, LEFT(E90,separador - 1), E90)</f>
        <v>Laguna Niguel</v>
      </c>
      <c r="G90" s="4" t="str">
        <f>IF(separador &gt; 0, RIGHT(E90,largo -separador - 1),"-")</f>
        <v>CA 92677</v>
      </c>
      <c r="H90" s="4" t="s">
        <v>3816</v>
      </c>
      <c r="I90" s="4" t="s">
        <v>2834</v>
      </c>
      <c r="J90" s="13">
        <v>41536.27685185185</v>
      </c>
      <c r="K90" s="4" t="s">
        <v>3668</v>
      </c>
      <c r="M90" s="4">
        <f>IFERROR(FIND(",",E90),0)</f>
        <v>14</v>
      </c>
      <c r="N90" s="4">
        <f>LEN(E90)</f>
        <v>23</v>
      </c>
    </row>
    <row r="91" spans="1:14" outlineLevel="2" x14ac:dyDescent="0.3">
      <c r="A91" t="s">
        <v>4699</v>
      </c>
      <c r="B91" t="s">
        <v>27</v>
      </c>
      <c r="C91" s="1">
        <v>32080</v>
      </c>
      <c r="D91" t="s">
        <v>1048</v>
      </c>
      <c r="E91" t="s">
        <v>1049</v>
      </c>
      <c r="F91" t="str">
        <f>IF(separador &gt; 0, LEFT(E91,separador - 1), E91)</f>
        <v>Fairborn</v>
      </c>
      <c r="G91" t="str">
        <f>IF(separador &gt; 0, RIGHT(E91,largo -separador - 1),"-")</f>
        <v>OH 45324</v>
      </c>
      <c r="H91" t="s">
        <v>3695</v>
      </c>
      <c r="I91" t="s">
        <v>2713</v>
      </c>
      <c r="J91" s="2">
        <v>38402.09815972222</v>
      </c>
      <c r="K91" t="s">
        <v>3668</v>
      </c>
      <c r="M91">
        <f>IFERROR(FIND(",",E91),0)</f>
        <v>9</v>
      </c>
      <c r="N91">
        <f>LEN(E91)</f>
        <v>18</v>
      </c>
    </row>
    <row r="92" spans="1:14" outlineLevel="2" x14ac:dyDescent="0.3">
      <c r="A92" s="4" t="s">
        <v>5451</v>
      </c>
      <c r="B92" s="4" t="s">
        <v>779</v>
      </c>
      <c r="C92" s="12">
        <v>32007</v>
      </c>
      <c r="D92" s="4" t="s">
        <v>2361</v>
      </c>
      <c r="E92" s="4" t="s">
        <v>2362</v>
      </c>
      <c r="F92" s="4" t="str">
        <f>IF(separador &gt; 0, LEFT(E92,separador - 1), E92)</f>
        <v>Bronx</v>
      </c>
      <c r="G92" s="4" t="str">
        <f>IF(separador &gt; 0, RIGHT(E92,largo -separador - 1),"-")</f>
        <v>NY 10452</v>
      </c>
      <c r="H92" s="4" t="s">
        <v>4447</v>
      </c>
      <c r="I92" s="4" t="s">
        <v>3450</v>
      </c>
      <c r="J92" s="13">
        <v>41001.930300925924</v>
      </c>
      <c r="K92" s="4" t="s">
        <v>3668</v>
      </c>
      <c r="M92" s="4">
        <f>IFERROR(FIND(",",E92),0)</f>
        <v>6</v>
      </c>
      <c r="N92" s="4">
        <f>LEN(E92)</f>
        <v>15</v>
      </c>
    </row>
    <row r="93" spans="1:14" outlineLevel="2" x14ac:dyDescent="0.3">
      <c r="A93" t="s">
        <v>5303</v>
      </c>
      <c r="B93" t="s">
        <v>631</v>
      </c>
      <c r="C93" s="1">
        <v>31960</v>
      </c>
      <c r="D93" t="s">
        <v>2156</v>
      </c>
      <c r="E93" t="s">
        <v>2157</v>
      </c>
      <c r="F93" t="str">
        <f>IF(separador &gt; 0, LEFT(E93,separador - 1), E93)</f>
        <v>62 The Green</v>
      </c>
      <c r="G93" t="str">
        <f>IF(separador &gt; 0, RIGHT(E93,largo -separador - 1),"-")</f>
        <v>-</v>
      </c>
      <c r="H93" t="s">
        <v>4299</v>
      </c>
      <c r="I93" t="s">
        <v>3308</v>
      </c>
      <c r="J93" s="2">
        <v>43873.834687499999</v>
      </c>
      <c r="K93" t="s">
        <v>3668</v>
      </c>
      <c r="M93">
        <f>IFERROR(FIND(",",E93),0)</f>
        <v>0</v>
      </c>
      <c r="N93">
        <f>LEN(E93)</f>
        <v>12</v>
      </c>
    </row>
    <row r="94" spans="1:14" outlineLevel="2" x14ac:dyDescent="0.3">
      <c r="A94" s="4" t="s">
        <v>5477</v>
      </c>
      <c r="B94" s="4" t="s">
        <v>805</v>
      </c>
      <c r="C94" s="12">
        <v>31861</v>
      </c>
      <c r="D94" s="4" t="s">
        <v>2412</v>
      </c>
      <c r="E94" s="4" t="s">
        <v>2413</v>
      </c>
      <c r="F94" s="4" t="str">
        <f>IF(separador &gt; 0, LEFT(E94,separador - 1), E94)</f>
        <v>Brooklyn</v>
      </c>
      <c r="G94" s="4" t="str">
        <f>IF(separador &gt; 0, RIGHT(E94,largo -separador - 1),"-")</f>
        <v>NY 11223</v>
      </c>
      <c r="H94" s="4" t="s">
        <v>4473</v>
      </c>
      <c r="I94" s="4" t="s">
        <v>3476</v>
      </c>
      <c r="J94" s="13">
        <v>40312.03334490741</v>
      </c>
      <c r="K94" s="4" t="s">
        <v>3668</v>
      </c>
      <c r="M94" s="4">
        <f>IFERROR(FIND(",",E94),0)</f>
        <v>9</v>
      </c>
      <c r="N94" s="4">
        <f>LEN(E94)</f>
        <v>18</v>
      </c>
    </row>
    <row r="95" spans="1:14" outlineLevel="2" x14ac:dyDescent="0.3">
      <c r="A95" t="s">
        <v>5415</v>
      </c>
      <c r="B95" t="s">
        <v>743</v>
      </c>
      <c r="C95" s="1">
        <v>31830</v>
      </c>
      <c r="D95" t="s">
        <v>1960</v>
      </c>
      <c r="E95" t="s">
        <v>2305</v>
      </c>
      <c r="F95" t="str">
        <f>IF(separador &gt; 0, LEFT(E95,separador - 1), E95)</f>
        <v>W12 6MQ</v>
      </c>
      <c r="G95" t="str">
        <f>IF(separador &gt; 0, RIGHT(E95,largo -separador - 1),"-")</f>
        <v>-</v>
      </c>
      <c r="H95" t="s">
        <v>4411</v>
      </c>
      <c r="I95" t="s">
        <v>3417</v>
      </c>
      <c r="J95" s="2">
        <v>41715.082881944443</v>
      </c>
      <c r="K95" t="s">
        <v>3668</v>
      </c>
      <c r="M95">
        <f>IFERROR(FIND(",",E95),0)</f>
        <v>0</v>
      </c>
      <c r="N95">
        <f>LEN(E95)</f>
        <v>7</v>
      </c>
    </row>
    <row r="96" spans="1:14" outlineLevel="2" x14ac:dyDescent="0.3">
      <c r="A96" s="4" t="s">
        <v>5217</v>
      </c>
      <c r="B96" s="4" t="s">
        <v>545</v>
      </c>
      <c r="C96" s="12">
        <v>31820</v>
      </c>
      <c r="D96" s="4" t="s">
        <v>1960</v>
      </c>
      <c r="E96" s="4" t="s">
        <v>2043</v>
      </c>
      <c r="F96" s="4" t="str">
        <f>IF(separador &gt; 0, LEFT(E96,separador - 1), E96)</f>
        <v>W14 9ZK</v>
      </c>
      <c r="G96" s="4" t="str">
        <f>IF(separador &gt; 0, RIGHT(E96,largo -separador - 1),"-")</f>
        <v>-</v>
      </c>
      <c r="H96" s="4" t="s">
        <v>4213</v>
      </c>
      <c r="I96" s="4" t="s">
        <v>3225</v>
      </c>
      <c r="J96" s="13">
        <v>38757.301041666666</v>
      </c>
      <c r="K96" s="4" t="s">
        <v>3668</v>
      </c>
      <c r="M96" s="4">
        <f>IFERROR(FIND(",",E96),0)</f>
        <v>0</v>
      </c>
      <c r="N96" s="4">
        <f>LEN(E96)</f>
        <v>7</v>
      </c>
    </row>
    <row r="97" spans="1:14" outlineLevel="2" x14ac:dyDescent="0.3">
      <c r="A97" t="s">
        <v>5673</v>
      </c>
      <c r="B97" t="s">
        <v>1001</v>
      </c>
      <c r="C97" s="1">
        <v>31797</v>
      </c>
      <c r="D97" t="s">
        <v>2688</v>
      </c>
      <c r="E97" t="s">
        <v>2348</v>
      </c>
      <c r="F97" t="str">
        <f>IF(separador &gt; 0, LEFT(E97,separador - 1), E97)</f>
        <v>Bronx</v>
      </c>
      <c r="G97" t="str">
        <f>IF(separador &gt; 0, RIGHT(E97,largo -separador - 1),"-")</f>
        <v>NY 10463</v>
      </c>
      <c r="H97" t="s">
        <v>4669</v>
      </c>
      <c r="I97" t="s">
        <v>3665</v>
      </c>
      <c r="J97" s="2">
        <v>42401.895949074074</v>
      </c>
      <c r="K97" t="s">
        <v>3668</v>
      </c>
      <c r="M97">
        <f>IFERROR(FIND(",",E97),0)</f>
        <v>6</v>
      </c>
      <c r="N97">
        <f>LEN(E97)</f>
        <v>15</v>
      </c>
    </row>
    <row r="98" spans="1:14" outlineLevel="2" x14ac:dyDescent="0.3">
      <c r="A98" s="4" t="s">
        <v>4809</v>
      </c>
      <c r="B98" s="4" t="s">
        <v>137</v>
      </c>
      <c r="C98" s="12">
        <v>31782</v>
      </c>
      <c r="D98" s="4" t="s">
        <v>1268</v>
      </c>
      <c r="E98" s="4" t="s">
        <v>1269</v>
      </c>
      <c r="F98" s="4" t="str">
        <f>IF(separador &gt; 0, LEFT(E98,separador - 1), E98)</f>
        <v>Cupertino</v>
      </c>
      <c r="G98" s="4" t="str">
        <f>IF(separador &gt; 0, RIGHT(E98,largo -separador - 1),"-")</f>
        <v>CA 95014</v>
      </c>
      <c r="H98" s="4" t="s">
        <v>3805</v>
      </c>
      <c r="I98" s="4" t="s">
        <v>2823</v>
      </c>
      <c r="J98" s="13">
        <v>40420.280439814815</v>
      </c>
      <c r="K98" s="4" t="s">
        <v>3668</v>
      </c>
      <c r="M98" s="4">
        <f>IFERROR(FIND(",",E98),0)</f>
        <v>10</v>
      </c>
      <c r="N98" s="4">
        <f>LEN(E98)</f>
        <v>19</v>
      </c>
    </row>
    <row r="99" spans="1:14" outlineLevel="2" x14ac:dyDescent="0.3">
      <c r="A99" t="s">
        <v>5519</v>
      </c>
      <c r="B99" t="s">
        <v>847</v>
      </c>
      <c r="C99" s="1">
        <v>31633</v>
      </c>
      <c r="D99" t="s">
        <v>2495</v>
      </c>
      <c r="E99" t="s">
        <v>2496</v>
      </c>
      <c r="F99" t="str">
        <f>IF(separador &gt; 0, LEFT(E99,separador - 1), E99)</f>
        <v>Poughkeepsie</v>
      </c>
      <c r="G99" t="str">
        <f>IF(separador &gt; 0, RIGHT(E99,largo -separador - 1),"-")</f>
        <v>NY 12603</v>
      </c>
      <c r="H99" t="s">
        <v>4515</v>
      </c>
      <c r="I99" t="s">
        <v>3518</v>
      </c>
      <c r="J99" s="2">
        <v>38688.23641203704</v>
      </c>
      <c r="K99" t="s">
        <v>3668</v>
      </c>
      <c r="M99">
        <f>IFERROR(FIND(",",E99),0)</f>
        <v>13</v>
      </c>
      <c r="N99">
        <f>LEN(E99)</f>
        <v>22</v>
      </c>
    </row>
    <row r="100" spans="1:14" outlineLevel="2" x14ac:dyDescent="0.3">
      <c r="A100" s="4" t="s">
        <v>4763</v>
      </c>
      <c r="B100" s="4" t="s">
        <v>91</v>
      </c>
      <c r="C100" s="12">
        <v>31588</v>
      </c>
      <c r="D100" s="4" t="s">
        <v>1176</v>
      </c>
      <c r="E100" s="4" t="s">
        <v>1177</v>
      </c>
      <c r="F100" s="4" t="str">
        <f>IF(separador &gt; 0, LEFT(E100,separador - 1), E100)</f>
        <v>75 Grange Road</v>
      </c>
      <c r="G100" s="4" t="str">
        <f>IF(separador &gt; 0, RIGHT(E100,largo -separador - 1),"-")</f>
        <v>-</v>
      </c>
      <c r="H100" s="4" t="s">
        <v>3759</v>
      </c>
      <c r="I100" s="4" t="s">
        <v>2777</v>
      </c>
      <c r="J100" s="13">
        <v>42630.124942129631</v>
      </c>
      <c r="K100" s="4" t="s">
        <v>3668</v>
      </c>
      <c r="M100" s="4">
        <f>IFERROR(FIND(",",E100),0)</f>
        <v>0</v>
      </c>
      <c r="N100" s="4">
        <f>LEN(E100)</f>
        <v>14</v>
      </c>
    </row>
    <row r="101" spans="1:14" outlineLevel="2" x14ac:dyDescent="0.3">
      <c r="A101" t="s">
        <v>5052</v>
      </c>
      <c r="B101" t="s">
        <v>380</v>
      </c>
      <c r="C101" s="1">
        <v>31422</v>
      </c>
      <c r="D101" t="s">
        <v>1754</v>
      </c>
      <c r="E101" t="s">
        <v>1755</v>
      </c>
      <c r="F101" t="str">
        <f>IF(separador &gt; 0, LEFT(E101,separador - 1), E101)</f>
        <v>111 Rockledge Street</v>
      </c>
      <c r="G101" t="str">
        <f>IF(separador &gt; 0, RIGHT(E101,largo -separador - 1),"-")</f>
        <v>-</v>
      </c>
      <c r="H101" t="s">
        <v>4048</v>
      </c>
      <c r="I101" t="s">
        <v>3062</v>
      </c>
      <c r="J101" s="2">
        <v>42481.875219907408</v>
      </c>
      <c r="K101" t="s">
        <v>3668</v>
      </c>
      <c r="M101">
        <f>IFERROR(FIND(",",E101),0)</f>
        <v>0</v>
      </c>
      <c r="N101">
        <f>LEN(E101)</f>
        <v>20</v>
      </c>
    </row>
    <row r="102" spans="1:14" outlineLevel="2" x14ac:dyDescent="0.3">
      <c r="A102" s="4" t="s">
        <v>5537</v>
      </c>
      <c r="B102" s="4" t="s">
        <v>865</v>
      </c>
      <c r="C102" s="12">
        <v>31422</v>
      </c>
      <c r="D102" s="4" t="s">
        <v>2531</v>
      </c>
      <c r="E102" s="4" t="s">
        <v>2532</v>
      </c>
      <c r="F102" s="4" t="str">
        <f>IF(separador &gt; 0, LEFT(E102,separador - 1), E102)</f>
        <v>Brentwood</v>
      </c>
      <c r="G102" s="4" t="str">
        <f>IF(separador &gt; 0, RIGHT(E102,largo -separador - 1),"-")</f>
        <v>NY 11717</v>
      </c>
      <c r="H102" s="4" t="s">
        <v>4533</v>
      </c>
      <c r="I102" s="4" t="s">
        <v>3535</v>
      </c>
      <c r="J102" s="13">
        <v>39291.421377314815</v>
      </c>
      <c r="K102" s="4" t="s">
        <v>3668</v>
      </c>
      <c r="M102" s="4">
        <f>IFERROR(FIND(",",E102),0)</f>
        <v>10</v>
      </c>
      <c r="N102" s="4">
        <f>LEN(E102)</f>
        <v>19</v>
      </c>
    </row>
    <row r="103" spans="1:14" outlineLevel="2" x14ac:dyDescent="0.3">
      <c r="A103" t="s">
        <v>5327</v>
      </c>
      <c r="B103" t="s">
        <v>655</v>
      </c>
      <c r="C103" s="1">
        <v>31407</v>
      </c>
      <c r="D103" t="s">
        <v>2188</v>
      </c>
      <c r="E103" t="s">
        <v>2189</v>
      </c>
      <c r="F103" t="str">
        <f>IF(separador &gt; 0, LEFT(E103,separador - 1), E103)</f>
        <v>9772 George Street</v>
      </c>
      <c r="G103" t="str">
        <f>IF(separador &gt; 0, RIGHT(E103,largo -separador - 1),"-")</f>
        <v>-</v>
      </c>
      <c r="H103" t="s">
        <v>4323</v>
      </c>
      <c r="I103" t="s">
        <v>3332</v>
      </c>
      <c r="J103" s="2">
        <v>42883.115763888891</v>
      </c>
      <c r="K103" t="s">
        <v>3668</v>
      </c>
      <c r="M103">
        <f>IFERROR(FIND(",",E103),0)</f>
        <v>0</v>
      </c>
      <c r="N103">
        <f>LEN(E103)</f>
        <v>18</v>
      </c>
    </row>
    <row r="104" spans="1:14" outlineLevel="2" x14ac:dyDescent="0.3">
      <c r="A104" s="4" t="s">
        <v>5505</v>
      </c>
      <c r="B104" s="4" t="s">
        <v>833</v>
      </c>
      <c r="C104" s="12">
        <v>31400</v>
      </c>
      <c r="D104" s="4" t="s">
        <v>2467</v>
      </c>
      <c r="E104" s="4" t="s">
        <v>2468</v>
      </c>
      <c r="F104" s="4" t="str">
        <f>IF(separador &gt; 0, LEFT(E104,separador - 1), E104)</f>
        <v>Brooklyn</v>
      </c>
      <c r="G104" s="4" t="str">
        <f>IF(separador &gt; 0, RIGHT(E104,largo -separador - 1),"-")</f>
        <v>NY 11214</v>
      </c>
      <c r="H104" s="4" t="s">
        <v>4501</v>
      </c>
      <c r="I104" s="4" t="s">
        <v>3504</v>
      </c>
      <c r="J104" s="13">
        <v>39019.742615740739</v>
      </c>
      <c r="K104" s="4" t="s">
        <v>3668</v>
      </c>
      <c r="M104" s="4">
        <f>IFERROR(FIND(",",E104),0)</f>
        <v>9</v>
      </c>
      <c r="N104" s="4">
        <f>LEN(E104)</f>
        <v>18</v>
      </c>
    </row>
    <row r="105" spans="1:14" outlineLevel="2" x14ac:dyDescent="0.3">
      <c r="A105" t="s">
        <v>4758</v>
      </c>
      <c r="B105" t="s">
        <v>86</v>
      </c>
      <c r="C105" s="1">
        <v>31273</v>
      </c>
      <c r="D105" t="s">
        <v>1166</v>
      </c>
      <c r="E105" t="s">
        <v>1167</v>
      </c>
      <c r="F105" t="str">
        <f>IF(separador &gt; 0, LEFT(E105,separador - 1), E105)</f>
        <v>CV96 4TX</v>
      </c>
      <c r="G105" t="str">
        <f>IF(separador &gt; 0, RIGHT(E105,largo -separador - 1),"-")</f>
        <v>-</v>
      </c>
      <c r="H105" t="s">
        <v>3754</v>
      </c>
      <c r="I105" t="s">
        <v>2772</v>
      </c>
      <c r="J105" s="2">
        <v>41403.350439814814</v>
      </c>
      <c r="K105" t="s">
        <v>3668</v>
      </c>
      <c r="M105">
        <f>IFERROR(FIND(",",E105),0)</f>
        <v>0</v>
      </c>
      <c r="N105">
        <f>LEN(E105)</f>
        <v>8</v>
      </c>
    </row>
    <row r="106" spans="1:14" outlineLevel="2" x14ac:dyDescent="0.3">
      <c r="A106" s="4" t="s">
        <v>4781</v>
      </c>
      <c r="B106" s="4" t="s">
        <v>109</v>
      </c>
      <c r="C106" s="12">
        <v>31236</v>
      </c>
      <c r="D106" s="4" t="s">
        <v>1212</v>
      </c>
      <c r="E106" s="4" t="s">
        <v>1213</v>
      </c>
      <c r="F106" s="4" t="str">
        <f>IF(separador &gt; 0, LEFT(E106,separador - 1), E106)</f>
        <v>69 The Drive</v>
      </c>
      <c r="G106" s="4" t="str">
        <f>IF(separador &gt; 0, RIGHT(E106,largo -separador - 1),"-")</f>
        <v>-</v>
      </c>
      <c r="H106" s="4" t="s">
        <v>3777</v>
      </c>
      <c r="I106" s="4" t="s">
        <v>2795</v>
      </c>
      <c r="J106" s="13">
        <v>41472.462245370371</v>
      </c>
      <c r="K106" s="4" t="s">
        <v>3668</v>
      </c>
      <c r="M106" s="4">
        <f>IFERROR(FIND(",",E106),0)</f>
        <v>0</v>
      </c>
      <c r="N106" s="4">
        <f>LEN(E106)</f>
        <v>12</v>
      </c>
    </row>
    <row r="107" spans="1:14" outlineLevel="2" x14ac:dyDescent="0.3">
      <c r="A107" t="s">
        <v>5064</v>
      </c>
      <c r="B107" t="s">
        <v>392</v>
      </c>
      <c r="C107" s="1">
        <v>31070</v>
      </c>
      <c r="D107" t="s">
        <v>1778</v>
      </c>
      <c r="E107" t="s">
        <v>1779</v>
      </c>
      <c r="F107" t="str">
        <f>IF(separador &gt; 0, LEFT(E107,separador - 1), E107)</f>
        <v>8429 Bellevue Avenue</v>
      </c>
      <c r="G107" t="str">
        <f>IF(separador &gt; 0, RIGHT(E107,largo -separador - 1),"-")</f>
        <v>-</v>
      </c>
      <c r="H107" t="s">
        <v>4060</v>
      </c>
      <c r="I107" t="s">
        <v>3074</v>
      </c>
      <c r="J107" s="2">
        <v>39508.617696759262</v>
      </c>
      <c r="K107" t="s">
        <v>3668</v>
      </c>
      <c r="M107">
        <f>IFERROR(FIND(",",E107),0)</f>
        <v>0</v>
      </c>
      <c r="N107">
        <f>LEN(E107)</f>
        <v>20</v>
      </c>
    </row>
    <row r="108" spans="1:14" outlineLevel="2" x14ac:dyDescent="0.3">
      <c r="A108" s="4" t="s">
        <v>4677</v>
      </c>
      <c r="B108" s="4" t="s">
        <v>5</v>
      </c>
      <c r="C108" s="12">
        <v>31024</v>
      </c>
      <c r="D108" s="4" t="s">
        <v>1004</v>
      </c>
      <c r="E108" s="4" t="s">
        <v>1005</v>
      </c>
      <c r="F108" s="4" t="str">
        <f>IF(separador &gt; 0, LEFT(E108,separador - 1), E108)</f>
        <v>Bergenfield</v>
      </c>
      <c r="G108" s="4" t="str">
        <f>IF(separador &gt; 0, RIGHT(E108,largo -separador - 1),"-")</f>
        <v>NJ 07621</v>
      </c>
      <c r="H108" s="4" t="s">
        <v>3673</v>
      </c>
      <c r="I108" s="4" t="s">
        <v>2691</v>
      </c>
      <c r="J108" s="13">
        <v>40927.605914351851</v>
      </c>
      <c r="K108" s="4" t="s">
        <v>3668</v>
      </c>
      <c r="M108" s="4">
        <f>IFERROR(FIND(",",E108),0)</f>
        <v>12</v>
      </c>
      <c r="N108" s="4">
        <f>LEN(E108)</f>
        <v>21</v>
      </c>
    </row>
    <row r="109" spans="1:14" outlineLevel="2" x14ac:dyDescent="0.3">
      <c r="A109" t="s">
        <v>4702</v>
      </c>
      <c r="B109" t="s">
        <v>30</v>
      </c>
      <c r="C109" s="1">
        <v>30954</v>
      </c>
      <c r="D109" t="s">
        <v>1054</v>
      </c>
      <c r="E109" t="s">
        <v>1055</v>
      </c>
      <c r="F109" t="str">
        <f>IF(separador &gt; 0, LEFT(E109,separador - 1), E109)</f>
        <v>El Paso</v>
      </c>
      <c r="G109" t="str">
        <f>IF(separador &gt; 0, RIGHT(E109,largo -separador - 1),"-")</f>
        <v>TX 79930</v>
      </c>
      <c r="H109" t="s">
        <v>3698</v>
      </c>
      <c r="I109" t="s">
        <v>2716</v>
      </c>
      <c r="J109" s="2">
        <v>40361.62909722222</v>
      </c>
      <c r="K109" t="s">
        <v>3668</v>
      </c>
      <c r="M109">
        <f>IFERROR(FIND(",",E109),0)</f>
        <v>8</v>
      </c>
      <c r="N109">
        <f>LEN(E109)</f>
        <v>17</v>
      </c>
    </row>
    <row r="110" spans="1:14" outlineLevel="2" x14ac:dyDescent="0.3">
      <c r="A110" s="4" t="s">
        <v>5122</v>
      </c>
      <c r="B110" s="4" t="s">
        <v>450</v>
      </c>
      <c r="C110" s="12">
        <v>30877</v>
      </c>
      <c r="D110" s="4" t="s">
        <v>1893</v>
      </c>
      <c r="E110" s="4" t="s">
        <v>1894</v>
      </c>
      <c r="F110" s="4" t="str">
        <f>IF(separador &gt; 0, LEFT(E110,separador - 1), E110)</f>
        <v>7942 Winding Way Lane</v>
      </c>
      <c r="G110" s="4" t="str">
        <f>IF(separador &gt; 0, RIGHT(E110,largo -separador - 1),"-")</f>
        <v>-</v>
      </c>
      <c r="H110" s="4" t="s">
        <v>4118</v>
      </c>
      <c r="I110" s="4" t="s">
        <v>3131</v>
      </c>
      <c r="J110" s="13">
        <v>42233.47483796296</v>
      </c>
      <c r="K110" s="4" t="s">
        <v>3668</v>
      </c>
      <c r="M110" s="4">
        <f>IFERROR(FIND(",",E110),0)</f>
        <v>0</v>
      </c>
      <c r="N110" s="4">
        <f>LEN(E110)</f>
        <v>21</v>
      </c>
    </row>
    <row r="111" spans="1:14" outlineLevel="2" x14ac:dyDescent="0.3">
      <c r="A111" t="s">
        <v>5040</v>
      </c>
      <c r="B111" t="s">
        <v>368</v>
      </c>
      <c r="C111" s="1">
        <v>30826</v>
      </c>
      <c r="D111" t="s">
        <v>1730</v>
      </c>
      <c r="E111" t="s">
        <v>1731</v>
      </c>
      <c r="F111" t="str">
        <f>IF(separador &gt; 0, LEFT(E111,separador - 1), E111)</f>
        <v>42 Lakeshore Avenue</v>
      </c>
      <c r="G111" t="str">
        <f>IF(separador &gt; 0, RIGHT(E111,largo -separador - 1),"-")</f>
        <v>-</v>
      </c>
      <c r="H111" t="s">
        <v>4036</v>
      </c>
      <c r="I111" t="s">
        <v>3050</v>
      </c>
      <c r="J111" s="2">
        <v>39670.150810185187</v>
      </c>
      <c r="K111" t="s">
        <v>3668</v>
      </c>
      <c r="M111">
        <f>IFERROR(FIND(",",E111),0)</f>
        <v>0</v>
      </c>
      <c r="N111">
        <f>LEN(E111)</f>
        <v>19</v>
      </c>
    </row>
    <row r="112" spans="1:14" outlineLevel="2" x14ac:dyDescent="0.3">
      <c r="A112" s="4" t="s">
        <v>4919</v>
      </c>
      <c r="B112" s="4" t="s">
        <v>247</v>
      </c>
      <c r="C112" s="12">
        <v>30800</v>
      </c>
      <c r="D112" s="4" t="s">
        <v>1488</v>
      </c>
      <c r="E112" s="4" t="s">
        <v>1489</v>
      </c>
      <c r="F112" s="4" t="str">
        <f>IF(separador &gt; 0, LEFT(E112,separador - 1), E112)</f>
        <v>562 Hilldale Lane</v>
      </c>
      <c r="G112" s="4" t="str">
        <f>IF(separador &gt; 0, RIGHT(E112,largo -separador - 1),"-")</f>
        <v>-</v>
      </c>
      <c r="H112" s="4" t="s">
        <v>3915</v>
      </c>
      <c r="I112" s="4" t="s">
        <v>2930</v>
      </c>
      <c r="J112" s="13">
        <v>41565.590208333335</v>
      </c>
      <c r="K112" s="4" t="s">
        <v>3668</v>
      </c>
      <c r="M112" s="4">
        <f>IFERROR(FIND(",",E112),0)</f>
        <v>0</v>
      </c>
      <c r="N112" s="4">
        <f>LEN(E112)</f>
        <v>17</v>
      </c>
    </row>
    <row r="113" spans="1:14" outlineLevel="2" x14ac:dyDescent="0.3">
      <c r="A113" t="s">
        <v>5465</v>
      </c>
      <c r="B113" t="s">
        <v>793</v>
      </c>
      <c r="C113" s="1">
        <v>30736</v>
      </c>
      <c r="D113" t="s">
        <v>2388</v>
      </c>
      <c r="E113" t="s">
        <v>2389</v>
      </c>
      <c r="F113" t="str">
        <f>IF(separador &gt; 0, LEFT(E113,separador - 1), E113)</f>
        <v>Levittown</v>
      </c>
      <c r="G113" t="str">
        <f>IF(separador &gt; 0, RIGHT(E113,largo -separador - 1),"-")</f>
        <v>NY 11756</v>
      </c>
      <c r="H113" t="s">
        <v>4461</v>
      </c>
      <c r="I113" t="s">
        <v>3464</v>
      </c>
      <c r="J113" s="2">
        <v>38978.709490740737</v>
      </c>
      <c r="K113" t="s">
        <v>3668</v>
      </c>
      <c r="M113">
        <f>IFERROR(FIND(",",E113),0)</f>
        <v>10</v>
      </c>
      <c r="N113">
        <f>LEN(E113)</f>
        <v>19</v>
      </c>
    </row>
    <row r="114" spans="1:14" outlineLevel="2" x14ac:dyDescent="0.3">
      <c r="A114" s="4" t="s">
        <v>5447</v>
      </c>
      <c r="B114" s="4" t="s">
        <v>775</v>
      </c>
      <c r="C114" s="12">
        <v>30713</v>
      </c>
      <c r="D114" s="4" t="s">
        <v>2353</v>
      </c>
      <c r="E114" s="4" t="s">
        <v>2354</v>
      </c>
      <c r="F114" s="4" t="str">
        <f>IF(separador &gt; 0, LEFT(E114,separador - 1), E114)</f>
        <v>Ithaca</v>
      </c>
      <c r="G114" s="4" t="str">
        <f>IF(separador &gt; 0, RIGHT(E114,largo -separador - 1),"-")</f>
        <v>NY 14850</v>
      </c>
      <c r="H114" s="4" t="s">
        <v>4443</v>
      </c>
      <c r="I114" s="4" t="s">
        <v>2899</v>
      </c>
      <c r="J114" s="13">
        <v>40103.933125000003</v>
      </c>
      <c r="K114" s="4" t="s">
        <v>3668</v>
      </c>
      <c r="M114" s="4">
        <f>IFERROR(FIND(",",E114),0)</f>
        <v>7</v>
      </c>
      <c r="N114" s="4">
        <f>LEN(E114)</f>
        <v>16</v>
      </c>
    </row>
    <row r="115" spans="1:14" outlineLevel="2" x14ac:dyDescent="0.3">
      <c r="A115" t="s">
        <v>5546</v>
      </c>
      <c r="B115" t="s">
        <v>874</v>
      </c>
      <c r="C115" s="1">
        <v>30698</v>
      </c>
      <c r="D115" t="s">
        <v>2549</v>
      </c>
      <c r="E115" t="s">
        <v>2550</v>
      </c>
      <c r="F115" t="str">
        <f>IF(separador &gt; 0, LEFT(E115,separador - 1), E115)</f>
        <v>Rome</v>
      </c>
      <c r="G115" t="str">
        <f>IF(separador &gt; 0, RIGHT(E115,largo -separador - 1),"-")</f>
        <v>NY 13440</v>
      </c>
      <c r="H115" t="s">
        <v>4542</v>
      </c>
      <c r="I115" t="s">
        <v>3544</v>
      </c>
      <c r="J115" s="2">
        <v>44228.238287037035</v>
      </c>
      <c r="K115" t="s">
        <v>3668</v>
      </c>
      <c r="M115">
        <f>IFERROR(FIND(",",E115),0)</f>
        <v>5</v>
      </c>
      <c r="N115">
        <f>LEN(E115)</f>
        <v>14</v>
      </c>
    </row>
    <row r="116" spans="1:14" outlineLevel="2" x14ac:dyDescent="0.3">
      <c r="A116" s="4" t="s">
        <v>5479</v>
      </c>
      <c r="B116" s="4" t="s">
        <v>807</v>
      </c>
      <c r="C116" s="12">
        <v>30654</v>
      </c>
      <c r="D116" s="4" t="s">
        <v>2416</v>
      </c>
      <c r="E116" s="4" t="s">
        <v>2417</v>
      </c>
      <c r="F116" s="4" t="str">
        <f>IF(separador &gt; 0, LEFT(E116,separador - 1), E116)</f>
        <v>New York</v>
      </c>
      <c r="G116" s="4" t="str">
        <f>IF(separador &gt; 0, RIGHT(E116,largo -separador - 1),"-")</f>
        <v>NY 10025</v>
      </c>
      <c r="H116" s="4" t="s">
        <v>4475</v>
      </c>
      <c r="I116" s="4" t="s">
        <v>3478</v>
      </c>
      <c r="J116" s="13">
        <v>42035.980613425927</v>
      </c>
      <c r="K116" s="4" t="s">
        <v>3668</v>
      </c>
      <c r="M116" s="4">
        <f>IFERROR(FIND(",",E116),0)</f>
        <v>9</v>
      </c>
      <c r="N116" s="4">
        <f>LEN(E116)</f>
        <v>18</v>
      </c>
    </row>
    <row r="117" spans="1:14" outlineLevel="2" x14ac:dyDescent="0.3">
      <c r="A117" t="s">
        <v>5150</v>
      </c>
      <c r="B117" t="s">
        <v>478</v>
      </c>
      <c r="C117" s="1">
        <v>30499</v>
      </c>
      <c r="D117" t="s">
        <v>1949</v>
      </c>
      <c r="E117" t="s">
        <v>1950</v>
      </c>
      <c r="F117" t="str">
        <f>IF(separador &gt; 0, LEFT(E117,separador - 1), E117)</f>
        <v>Saint Petersburg</v>
      </c>
      <c r="G117" t="str">
        <f>IF(separador &gt; 0, RIGHT(E117,largo -separador - 1),"-")</f>
        <v>FL 33702</v>
      </c>
      <c r="H117" t="s">
        <v>4146</v>
      </c>
      <c r="I117" t="s">
        <v>3159</v>
      </c>
      <c r="J117" s="2">
        <v>39198.979768518519</v>
      </c>
      <c r="K117" t="s">
        <v>3668</v>
      </c>
      <c r="M117">
        <f>IFERROR(FIND(",",E117),0)</f>
        <v>17</v>
      </c>
      <c r="N117">
        <f>LEN(E117)</f>
        <v>26</v>
      </c>
    </row>
    <row r="118" spans="1:14" outlineLevel="2" x14ac:dyDescent="0.3">
      <c r="A118" s="4" t="s">
        <v>5659</v>
      </c>
      <c r="B118" s="4" t="s">
        <v>987</v>
      </c>
      <c r="C118" s="12">
        <v>30446</v>
      </c>
      <c r="D118" s="4" t="s">
        <v>2674</v>
      </c>
      <c r="E118" s="4" t="s">
        <v>2409</v>
      </c>
      <c r="F118" s="4" t="str">
        <f>IF(separador &gt; 0, LEFT(E118,separador - 1), E118)</f>
        <v>Brooklyn</v>
      </c>
      <c r="G118" s="4" t="str">
        <f>IF(separador &gt; 0, RIGHT(E118,largo -separador - 1),"-")</f>
        <v>NY 11229</v>
      </c>
      <c r="H118" s="4" t="s">
        <v>4655</v>
      </c>
      <c r="I118" s="4" t="s">
        <v>3566</v>
      </c>
      <c r="J118" s="13">
        <v>40536.009988425925</v>
      </c>
      <c r="K118" s="4" t="s">
        <v>3668</v>
      </c>
      <c r="M118" s="4">
        <f>IFERROR(FIND(",",E118),0)</f>
        <v>9</v>
      </c>
      <c r="N118" s="4">
        <f>LEN(E118)</f>
        <v>18</v>
      </c>
    </row>
    <row r="119" spans="1:14" outlineLevel="2" x14ac:dyDescent="0.3">
      <c r="A119" t="s">
        <v>5509</v>
      </c>
      <c r="B119" t="s">
        <v>837</v>
      </c>
      <c r="C119" s="1">
        <v>30360</v>
      </c>
      <c r="D119" t="s">
        <v>2475</v>
      </c>
      <c r="E119" t="s">
        <v>2476</v>
      </c>
      <c r="F119" t="str">
        <f>IF(separador &gt; 0, LEFT(E119,separador - 1), E119)</f>
        <v>Jamaica</v>
      </c>
      <c r="G119" t="str">
        <f>IF(separador &gt; 0, RIGHT(E119,largo -separador - 1),"-")</f>
        <v>NY 11434</v>
      </c>
      <c r="H119" t="s">
        <v>4505</v>
      </c>
      <c r="I119" t="s">
        <v>3508</v>
      </c>
      <c r="J119" s="2">
        <v>42706.903229166666</v>
      </c>
      <c r="K119" t="s">
        <v>3668</v>
      </c>
      <c r="M119">
        <f>IFERROR(FIND(",",E119),0)</f>
        <v>8</v>
      </c>
      <c r="N119">
        <f>LEN(E119)</f>
        <v>17</v>
      </c>
    </row>
    <row r="120" spans="1:14" outlineLevel="2" x14ac:dyDescent="0.3">
      <c r="A120" s="4" t="s">
        <v>4942</v>
      </c>
      <c r="B120" s="4" t="s">
        <v>270</v>
      </c>
      <c r="C120" s="12">
        <v>30314</v>
      </c>
      <c r="D120" s="4" t="s">
        <v>1534</v>
      </c>
      <c r="E120" s="4" t="s">
        <v>1535</v>
      </c>
      <c r="F120" s="4" t="str">
        <f>IF(separador &gt; 0, LEFT(E120,separador - 1), E120)</f>
        <v>53 Old Belmont St.</v>
      </c>
      <c r="G120" s="4" t="str">
        <f>IF(separador &gt; 0, RIGHT(E120,largo -separador - 1),"-")</f>
        <v>-</v>
      </c>
      <c r="H120" s="4" t="s">
        <v>3938</v>
      </c>
      <c r="I120" s="4" t="s">
        <v>2953</v>
      </c>
      <c r="J120" s="13">
        <v>38978.842314814814</v>
      </c>
      <c r="K120" s="4" t="s">
        <v>3668</v>
      </c>
      <c r="M120" s="4">
        <f>IFERROR(FIND(",",E120),0)</f>
        <v>0</v>
      </c>
      <c r="N120" s="4">
        <f>LEN(E120)</f>
        <v>18</v>
      </c>
    </row>
    <row r="121" spans="1:14" outlineLevel="2" x14ac:dyDescent="0.3">
      <c r="A121" t="s">
        <v>5009</v>
      </c>
      <c r="B121" t="s">
        <v>337</v>
      </c>
      <c r="C121" s="1">
        <v>30238</v>
      </c>
      <c r="D121" t="s">
        <v>1668</v>
      </c>
      <c r="E121" t="s">
        <v>1669</v>
      </c>
      <c r="F121" t="str">
        <f>IF(separador &gt; 0, LEFT(E121,separador - 1), E121)</f>
        <v>8123 York Ave.</v>
      </c>
      <c r="G121" t="str">
        <f>IF(separador &gt; 0, RIGHT(E121,largo -separador - 1),"-")</f>
        <v>-</v>
      </c>
      <c r="H121" t="s">
        <v>4005</v>
      </c>
      <c r="I121" t="s">
        <v>3019</v>
      </c>
      <c r="J121" s="2">
        <v>43326.968159722222</v>
      </c>
      <c r="K121" t="s">
        <v>3668</v>
      </c>
      <c r="M121">
        <f>IFERROR(FIND(",",E121),0)</f>
        <v>0</v>
      </c>
      <c r="N121">
        <f>LEN(E121)</f>
        <v>14</v>
      </c>
    </row>
    <row r="122" spans="1:14" outlineLevel="2" x14ac:dyDescent="0.3">
      <c r="A122" s="4" t="s">
        <v>4766</v>
      </c>
      <c r="B122" s="4" t="s">
        <v>94</v>
      </c>
      <c r="C122" s="12">
        <v>30162</v>
      </c>
      <c r="D122" s="4" t="s">
        <v>1182</v>
      </c>
      <c r="E122" s="4" t="s">
        <v>1183</v>
      </c>
      <c r="F122" s="4" t="str">
        <f>IF(separador &gt; 0, LEFT(E122,separador - 1), E122)</f>
        <v>80 The Grove</v>
      </c>
      <c r="G122" s="4" t="str">
        <f>IF(separador &gt; 0, RIGHT(E122,largo -separador - 1),"-")</f>
        <v>-</v>
      </c>
      <c r="H122" s="4" t="s">
        <v>3762</v>
      </c>
      <c r="I122" s="4" t="s">
        <v>2780</v>
      </c>
      <c r="J122" s="13">
        <v>40490.906631944446</v>
      </c>
      <c r="K122" s="4" t="s">
        <v>3668</v>
      </c>
      <c r="M122" s="4">
        <f>IFERROR(FIND(",",E122),0)</f>
        <v>0</v>
      </c>
      <c r="N122" s="4">
        <f>LEN(E122)</f>
        <v>12</v>
      </c>
    </row>
    <row r="123" spans="1:14" outlineLevel="2" x14ac:dyDescent="0.3">
      <c r="A123" t="s">
        <v>5532</v>
      </c>
      <c r="B123" t="s">
        <v>860</v>
      </c>
      <c r="C123" s="1">
        <v>30140</v>
      </c>
      <c r="D123" t="s">
        <v>2521</v>
      </c>
      <c r="E123" t="s">
        <v>2522</v>
      </c>
      <c r="F123" t="str">
        <f>IF(separador &gt; 0, LEFT(E123,separador - 1), E123)</f>
        <v>New York</v>
      </c>
      <c r="G123" t="str">
        <f>IF(separador &gt; 0, RIGHT(E123,largo -separador - 1),"-")</f>
        <v>NY 10016</v>
      </c>
      <c r="H123" t="s">
        <v>4528</v>
      </c>
      <c r="I123" t="s">
        <v>3530</v>
      </c>
      <c r="J123" s="2">
        <v>41049.85628472222</v>
      </c>
      <c r="K123" t="s">
        <v>3668</v>
      </c>
      <c r="M123">
        <f>IFERROR(FIND(",",E123),0)</f>
        <v>9</v>
      </c>
      <c r="N123">
        <f>LEN(E123)</f>
        <v>18</v>
      </c>
    </row>
    <row r="124" spans="1:14" outlineLevel="2" x14ac:dyDescent="0.3">
      <c r="A124" s="4" t="s">
        <v>5338</v>
      </c>
      <c r="B124" s="4" t="s">
        <v>666</v>
      </c>
      <c r="C124" s="12">
        <v>30104</v>
      </c>
      <c r="D124" s="4" t="s">
        <v>2203</v>
      </c>
      <c r="E124" s="4" t="s">
        <v>1960</v>
      </c>
      <c r="F124" s="4" t="str">
        <f>IF(separador &gt; 0, LEFT(E124,separador - 1), E124)</f>
        <v>London</v>
      </c>
      <c r="G124" s="4" t="str">
        <f>IF(separador &gt; 0, RIGHT(E124,largo -separador - 1),"-")</f>
        <v>-</v>
      </c>
      <c r="H124" s="4" t="s">
        <v>4334</v>
      </c>
      <c r="I124" s="4" t="s">
        <v>3342</v>
      </c>
      <c r="J124" s="13">
        <v>39016.264456018522</v>
      </c>
      <c r="K124" s="4" t="s">
        <v>3668</v>
      </c>
      <c r="M124" s="4">
        <f>IFERROR(FIND(",",E124),0)</f>
        <v>0</v>
      </c>
      <c r="N124" s="4">
        <f>LEN(E124)</f>
        <v>6</v>
      </c>
    </row>
    <row r="125" spans="1:14" outlineLevel="2" x14ac:dyDescent="0.3">
      <c r="A125" t="s">
        <v>5105</v>
      </c>
      <c r="B125" t="s">
        <v>433</v>
      </c>
      <c r="C125" s="1">
        <v>30050</v>
      </c>
      <c r="D125" t="s">
        <v>1859</v>
      </c>
      <c r="E125" t="s">
        <v>1860</v>
      </c>
      <c r="F125" t="str">
        <f>IF(separador &gt; 0, LEFT(E125,separador - 1), E125)</f>
        <v>1 Grove St.</v>
      </c>
      <c r="G125" t="str">
        <f>IF(separador &gt; 0, RIGHT(E125,largo -separador - 1),"-")</f>
        <v>-</v>
      </c>
      <c r="H125" t="s">
        <v>4101</v>
      </c>
      <c r="I125" t="s">
        <v>3114</v>
      </c>
      <c r="J125" s="2">
        <v>42006.334201388891</v>
      </c>
      <c r="K125" t="s">
        <v>3668</v>
      </c>
      <c r="M125">
        <f>IFERROR(FIND(",",E125),0)</f>
        <v>0</v>
      </c>
      <c r="N125">
        <f>LEN(E125)</f>
        <v>11</v>
      </c>
    </row>
    <row r="126" spans="1:14" outlineLevel="2" x14ac:dyDescent="0.3">
      <c r="A126" s="4" t="s">
        <v>5026</v>
      </c>
      <c r="B126" s="4" t="s">
        <v>354</v>
      </c>
      <c r="C126" s="12">
        <v>29992</v>
      </c>
      <c r="D126" s="4" t="s">
        <v>1702</v>
      </c>
      <c r="E126" s="4" t="s">
        <v>1703</v>
      </c>
      <c r="F126" s="4" t="str">
        <f>IF(separador &gt; 0, LEFT(E126,separador - 1), E126)</f>
        <v>251 SW. Ramblewood Ave.</v>
      </c>
      <c r="G126" s="4" t="str">
        <f>IF(separador &gt; 0, RIGHT(E126,largo -separador - 1),"-")</f>
        <v>-</v>
      </c>
      <c r="H126" s="4" t="s">
        <v>4022</v>
      </c>
      <c r="I126" s="4" t="s">
        <v>3036</v>
      </c>
      <c r="J126" s="13">
        <v>38605.258888888886</v>
      </c>
      <c r="K126" s="4" t="s">
        <v>3668</v>
      </c>
      <c r="M126" s="4">
        <f>IFERROR(FIND(",",E126),0)</f>
        <v>0</v>
      </c>
      <c r="N126" s="4">
        <f>LEN(E126)</f>
        <v>23</v>
      </c>
    </row>
    <row r="127" spans="1:14" outlineLevel="2" x14ac:dyDescent="0.3">
      <c r="A127" t="s">
        <v>4890</v>
      </c>
      <c r="B127" t="s">
        <v>218</v>
      </c>
      <c r="C127" s="1">
        <v>29981</v>
      </c>
      <c r="D127" t="s">
        <v>1430</v>
      </c>
      <c r="E127" t="s">
        <v>1431</v>
      </c>
      <c r="F127" t="str">
        <f>IF(separador &gt; 0, LEFT(E127,separador - 1), E127)</f>
        <v>1 Spruce Street</v>
      </c>
      <c r="G127" t="str">
        <f>IF(separador &gt; 0, RIGHT(E127,largo -separador - 1),"-")</f>
        <v>-</v>
      </c>
      <c r="H127" t="s">
        <v>3886</v>
      </c>
      <c r="I127" t="s">
        <v>2901</v>
      </c>
      <c r="J127" s="2">
        <v>43842.537233796298</v>
      </c>
      <c r="K127" t="s">
        <v>3668</v>
      </c>
      <c r="M127">
        <f>IFERROR(FIND(",",E127),0)</f>
        <v>0</v>
      </c>
      <c r="N127">
        <f>LEN(E127)</f>
        <v>15</v>
      </c>
    </row>
    <row r="128" spans="1:14" outlineLevel="2" x14ac:dyDescent="0.3">
      <c r="A128" s="4" t="s">
        <v>5188</v>
      </c>
      <c r="B128" s="4" t="s">
        <v>516</v>
      </c>
      <c r="C128" s="12">
        <v>29873</v>
      </c>
      <c r="D128" s="4" t="s">
        <v>2004</v>
      </c>
      <c r="E128" s="4" t="s">
        <v>1960</v>
      </c>
      <c r="F128" s="4" t="str">
        <f>IF(separador &gt; 0, LEFT(E128,separador - 1), E128)</f>
        <v>London</v>
      </c>
      <c r="G128" s="4" t="str">
        <f>IF(separador &gt; 0, RIGHT(E128,largo -separador - 1),"-")</f>
        <v>-</v>
      </c>
      <c r="H128" s="4" t="s">
        <v>4184</v>
      </c>
      <c r="I128" s="4" t="s">
        <v>3196</v>
      </c>
      <c r="J128" s="13">
        <v>42766.142997685187</v>
      </c>
      <c r="K128" s="4" t="s">
        <v>3668</v>
      </c>
      <c r="M128" s="4">
        <f>IFERROR(FIND(",",E128),0)</f>
        <v>0</v>
      </c>
      <c r="N128" s="4">
        <f>LEN(E128)</f>
        <v>6</v>
      </c>
    </row>
    <row r="129" spans="1:14" outlineLevel="2" x14ac:dyDescent="0.3">
      <c r="A129" t="s">
        <v>5258</v>
      </c>
      <c r="B129" t="s">
        <v>586</v>
      </c>
      <c r="C129" s="1">
        <v>29850</v>
      </c>
      <c r="D129" t="s">
        <v>2096</v>
      </c>
      <c r="E129" t="s">
        <v>2097</v>
      </c>
      <c r="F129" t="str">
        <f>IF(separador &gt; 0, LEFT(E129,separador - 1), E129)</f>
        <v>91 Springfield Road</v>
      </c>
      <c r="G129" t="str">
        <f>IF(separador &gt; 0, RIGHT(E129,largo -separador - 1),"-")</f>
        <v>-</v>
      </c>
      <c r="H129" t="s">
        <v>4254</v>
      </c>
      <c r="I129" t="s">
        <v>3264</v>
      </c>
      <c r="J129" s="2">
        <v>42568.665844907409</v>
      </c>
      <c r="K129" t="s">
        <v>3668</v>
      </c>
      <c r="M129">
        <f>IFERROR(FIND(",",E129),0)</f>
        <v>0</v>
      </c>
      <c r="N129">
        <f>LEN(E129)</f>
        <v>19</v>
      </c>
    </row>
    <row r="130" spans="1:14" outlineLevel="2" x14ac:dyDescent="0.3">
      <c r="A130" s="4" t="s">
        <v>5400</v>
      </c>
      <c r="B130" s="4" t="s">
        <v>728</v>
      </c>
      <c r="C130" s="12">
        <v>29849</v>
      </c>
      <c r="D130" s="4" t="s">
        <v>1960</v>
      </c>
      <c r="E130" s="4" t="s">
        <v>2285</v>
      </c>
      <c r="F130" s="4" t="str">
        <f>IF(separador &gt; 0, LEFT(E130,separador - 1), E130)</f>
        <v>N10 8HK</v>
      </c>
      <c r="G130" s="4" t="str">
        <f>IF(separador &gt; 0, RIGHT(E130,largo -separador - 1),"-")</f>
        <v>-</v>
      </c>
      <c r="H130" s="4" t="s">
        <v>4396</v>
      </c>
      <c r="I130" s="4" t="s">
        <v>3403</v>
      </c>
      <c r="J130" s="13">
        <v>41987.423090277778</v>
      </c>
      <c r="K130" s="4" t="s">
        <v>3668</v>
      </c>
      <c r="M130" s="4">
        <f>IFERROR(FIND(",",E130),0)</f>
        <v>0</v>
      </c>
      <c r="N130" s="4">
        <f>LEN(E130)</f>
        <v>7</v>
      </c>
    </row>
    <row r="131" spans="1:14" outlineLevel="2" x14ac:dyDescent="0.3">
      <c r="A131" t="s">
        <v>5559</v>
      </c>
      <c r="B131" t="s">
        <v>887</v>
      </c>
      <c r="C131" s="1">
        <v>29844</v>
      </c>
      <c r="D131" t="s">
        <v>2574</v>
      </c>
      <c r="E131" t="s">
        <v>2401</v>
      </c>
      <c r="F131" t="str">
        <f>IF(separador &gt; 0, LEFT(E131,separador - 1), E131)</f>
        <v>Brooklyn</v>
      </c>
      <c r="G131" t="str">
        <f>IF(separador &gt; 0, RIGHT(E131,largo -separador - 1),"-")</f>
        <v>NY 11224</v>
      </c>
      <c r="H131" t="s">
        <v>4555</v>
      </c>
      <c r="I131" t="s">
        <v>3557</v>
      </c>
      <c r="J131" s="2">
        <v>42702.922060185185</v>
      </c>
      <c r="K131" t="s">
        <v>3668</v>
      </c>
      <c r="M131">
        <f>IFERROR(FIND(",",E131),0)</f>
        <v>9</v>
      </c>
      <c r="N131">
        <f>LEN(E131)</f>
        <v>18</v>
      </c>
    </row>
    <row r="132" spans="1:14" outlineLevel="2" x14ac:dyDescent="0.3">
      <c r="A132" s="4" t="s">
        <v>5269</v>
      </c>
      <c r="B132" s="4" t="s">
        <v>597</v>
      </c>
      <c r="C132" s="12">
        <v>29723</v>
      </c>
      <c r="D132" s="4" t="s">
        <v>2111</v>
      </c>
      <c r="E132" s="4" t="s">
        <v>1960</v>
      </c>
      <c r="F132" s="4" t="str">
        <f>IF(separador &gt; 0, LEFT(E132,separador - 1), E132)</f>
        <v>London</v>
      </c>
      <c r="G132" s="4" t="str">
        <f>IF(separador &gt; 0, RIGHT(E132,largo -separador - 1),"-")</f>
        <v>-</v>
      </c>
      <c r="H132" s="4" t="s">
        <v>4265</v>
      </c>
      <c r="I132" s="4" t="s">
        <v>3275</v>
      </c>
      <c r="J132" s="13">
        <v>43453.252604166664</v>
      </c>
      <c r="K132" s="4" t="s">
        <v>3668</v>
      </c>
      <c r="M132" s="4">
        <f>IFERROR(FIND(",",E132),0)</f>
        <v>0</v>
      </c>
      <c r="N132" s="4">
        <f>LEN(E132)</f>
        <v>6</v>
      </c>
    </row>
    <row r="133" spans="1:14" outlineLevel="2" x14ac:dyDescent="0.3">
      <c r="A133" t="s">
        <v>5440</v>
      </c>
      <c r="B133" t="s">
        <v>768</v>
      </c>
      <c r="C133" s="1">
        <v>29690</v>
      </c>
      <c r="D133" t="s">
        <v>2339</v>
      </c>
      <c r="E133" t="s">
        <v>2340</v>
      </c>
      <c r="F133" t="str">
        <f>IF(separador &gt; 0, LEFT(E133,separador - 1), E133)</f>
        <v>Bronx</v>
      </c>
      <c r="G133" t="str">
        <f>IF(separador &gt; 0, RIGHT(E133,largo -separador - 1),"-")</f>
        <v>NY 10472</v>
      </c>
      <c r="H133" t="s">
        <v>4436</v>
      </c>
      <c r="I133" t="s">
        <v>3440</v>
      </c>
      <c r="J133" s="2">
        <v>41455.740972222222</v>
      </c>
      <c r="K133" t="s">
        <v>3668</v>
      </c>
      <c r="M133">
        <f>IFERROR(FIND(",",E133),0)</f>
        <v>6</v>
      </c>
      <c r="N133">
        <f>LEN(E133)</f>
        <v>15</v>
      </c>
    </row>
    <row r="134" spans="1:14" outlineLevel="2" x14ac:dyDescent="0.3">
      <c r="A134" s="4" t="s">
        <v>5441</v>
      </c>
      <c r="B134" s="4" t="s">
        <v>769</v>
      </c>
      <c r="C134" s="12">
        <v>29636</v>
      </c>
      <c r="D134" s="4" t="s">
        <v>2341</v>
      </c>
      <c r="E134" s="4" t="s">
        <v>2342</v>
      </c>
      <c r="F134" s="4" t="str">
        <f>IF(separador &gt; 0, LEFT(E134,separador - 1), E134)</f>
        <v>Brooklyn</v>
      </c>
      <c r="G134" s="4" t="str">
        <f>IF(separador &gt; 0, RIGHT(E134,largo -separador - 1),"-")</f>
        <v>NY 11218</v>
      </c>
      <c r="H134" s="4" t="s">
        <v>4437</v>
      </c>
      <c r="I134" s="4" t="s">
        <v>3441</v>
      </c>
      <c r="J134" s="13">
        <v>41538.797858796293</v>
      </c>
      <c r="K134" s="4" t="s">
        <v>3668</v>
      </c>
      <c r="M134" s="4">
        <f>IFERROR(FIND(",",E134),0)</f>
        <v>9</v>
      </c>
      <c r="N134" s="4">
        <f>LEN(E134)</f>
        <v>18</v>
      </c>
    </row>
    <row r="135" spans="1:14" outlineLevel="2" x14ac:dyDescent="0.3">
      <c r="A135" t="s">
        <v>5491</v>
      </c>
      <c r="B135" t="s">
        <v>819</v>
      </c>
      <c r="C135" s="1">
        <v>29599</v>
      </c>
      <c r="D135" t="s">
        <v>2440</v>
      </c>
      <c r="E135" t="s">
        <v>2441</v>
      </c>
      <c r="F135" t="str">
        <f>IF(separador &gt; 0, LEFT(E135,separador - 1), E135)</f>
        <v>Fairport</v>
      </c>
      <c r="G135" t="str">
        <f>IF(separador &gt; 0, RIGHT(E135,largo -separador - 1),"-")</f>
        <v>NY 14450</v>
      </c>
      <c r="H135" t="s">
        <v>4487</v>
      </c>
      <c r="I135" t="s">
        <v>3490</v>
      </c>
      <c r="J135" s="2">
        <v>42207.666956018518</v>
      </c>
      <c r="K135" t="s">
        <v>3668</v>
      </c>
      <c r="M135">
        <f>IFERROR(FIND(",",E135),0)</f>
        <v>9</v>
      </c>
      <c r="N135">
        <f>LEN(E135)</f>
        <v>18</v>
      </c>
    </row>
    <row r="136" spans="1:14" outlineLevel="2" x14ac:dyDescent="0.3">
      <c r="A136" s="4" t="s">
        <v>5369</v>
      </c>
      <c r="B136" s="4" t="s">
        <v>697</v>
      </c>
      <c r="C136" s="12">
        <v>29574</v>
      </c>
      <c r="D136" s="4" t="s">
        <v>2243</v>
      </c>
      <c r="E136" s="4" t="s">
        <v>2244</v>
      </c>
      <c r="F136" s="4" t="str">
        <f>IF(separador &gt; 0, LEFT(E136,separador - 1), E136)</f>
        <v>42 Kingsway</v>
      </c>
      <c r="G136" s="4" t="str">
        <f>IF(separador &gt; 0, RIGHT(E136,largo -separador - 1),"-")</f>
        <v>-</v>
      </c>
      <c r="H136" s="4" t="s">
        <v>4365</v>
      </c>
      <c r="I136" s="4" t="s">
        <v>3373</v>
      </c>
      <c r="J136" s="13">
        <v>40938.204386574071</v>
      </c>
      <c r="K136" s="4" t="s">
        <v>3668</v>
      </c>
      <c r="M136" s="4">
        <f>IFERROR(FIND(",",E136),0)</f>
        <v>0</v>
      </c>
      <c r="N136" s="4">
        <f>LEN(E136)</f>
        <v>11</v>
      </c>
    </row>
    <row r="137" spans="1:14" outlineLevel="2" x14ac:dyDescent="0.3">
      <c r="A137" t="s">
        <v>5529</v>
      </c>
      <c r="B137" t="s">
        <v>857</v>
      </c>
      <c r="C137" s="1">
        <v>29524</v>
      </c>
      <c r="D137" t="s">
        <v>2515</v>
      </c>
      <c r="E137" t="s">
        <v>2516</v>
      </c>
      <c r="F137" t="str">
        <f>IF(separador &gt; 0, LEFT(E137,separador - 1), E137)</f>
        <v>New York</v>
      </c>
      <c r="G137" t="str">
        <f>IF(separador &gt; 0, RIGHT(E137,largo -separador - 1),"-")</f>
        <v>NY 10040</v>
      </c>
      <c r="H137" t="s">
        <v>4525</v>
      </c>
      <c r="I137" t="s">
        <v>3527</v>
      </c>
      <c r="J137" s="2">
        <v>39833.199189814812</v>
      </c>
      <c r="K137" t="s">
        <v>3668</v>
      </c>
      <c r="M137">
        <f>IFERROR(FIND(",",E137),0)</f>
        <v>9</v>
      </c>
      <c r="N137">
        <f>LEN(E137)</f>
        <v>18</v>
      </c>
    </row>
    <row r="138" spans="1:14" outlineLevel="2" x14ac:dyDescent="0.3">
      <c r="A138" s="4" t="s">
        <v>5498</v>
      </c>
      <c r="B138" s="4" t="s">
        <v>826</v>
      </c>
      <c r="C138" s="12">
        <v>29486</v>
      </c>
      <c r="D138" s="4" t="s">
        <v>2453</v>
      </c>
      <c r="E138" s="4" t="s">
        <v>2454</v>
      </c>
      <c r="F138" s="4" t="str">
        <f>IF(separador &gt; 0, LEFT(E138,separador - 1), E138)</f>
        <v>Brooklyn</v>
      </c>
      <c r="G138" s="4" t="str">
        <f>IF(separador &gt; 0, RIGHT(E138,largo -separador - 1),"-")</f>
        <v>NY 11225</v>
      </c>
      <c r="H138" s="4" t="s">
        <v>4494</v>
      </c>
      <c r="I138" s="4" t="s">
        <v>3497</v>
      </c>
      <c r="J138" s="13">
        <v>40116.971817129626</v>
      </c>
      <c r="K138" s="4" t="s">
        <v>3668</v>
      </c>
      <c r="M138" s="4">
        <f>IFERROR(FIND(",",E138),0)</f>
        <v>9</v>
      </c>
      <c r="N138" s="4">
        <f>LEN(E138)</f>
        <v>18</v>
      </c>
    </row>
    <row r="139" spans="1:14" outlineLevel="2" x14ac:dyDescent="0.3">
      <c r="A139" t="s">
        <v>5466</v>
      </c>
      <c r="B139" t="s">
        <v>794</v>
      </c>
      <c r="C139" s="1">
        <v>29408</v>
      </c>
      <c r="D139" t="s">
        <v>2390</v>
      </c>
      <c r="E139" t="s">
        <v>2391</v>
      </c>
      <c r="F139" t="str">
        <f>IF(separador &gt; 0, LEFT(E139,separador - 1), E139)</f>
        <v>East Elmhurst</v>
      </c>
      <c r="G139" t="str">
        <f>IF(separador &gt; 0, RIGHT(E139,largo -separador - 1),"-")</f>
        <v>NY 11370</v>
      </c>
      <c r="H139" t="s">
        <v>4462</v>
      </c>
      <c r="I139" t="s">
        <v>3465</v>
      </c>
      <c r="J139" s="2">
        <v>40800.560057870367</v>
      </c>
      <c r="K139" t="s">
        <v>3668</v>
      </c>
      <c r="M139">
        <f>IFERROR(FIND(",",E139),0)</f>
        <v>14</v>
      </c>
      <c r="N139">
        <f>LEN(E139)</f>
        <v>23</v>
      </c>
    </row>
    <row r="140" spans="1:14" outlineLevel="2" x14ac:dyDescent="0.3">
      <c r="A140" s="4" t="s">
        <v>5044</v>
      </c>
      <c r="B140" s="4" t="s">
        <v>372</v>
      </c>
      <c r="C140" s="12">
        <v>29407</v>
      </c>
      <c r="D140" s="4" t="s">
        <v>1738</v>
      </c>
      <c r="E140" s="4" t="s">
        <v>1739</v>
      </c>
      <c r="F140" s="4" t="str">
        <f>IF(separador &gt; 0, LEFT(E140,separador - 1), E140)</f>
        <v>727 Cardinal Ave.</v>
      </c>
      <c r="G140" s="4" t="str">
        <f>IF(separador &gt; 0, RIGHT(E140,largo -separador - 1),"-")</f>
        <v>-</v>
      </c>
      <c r="H140" s="4" t="s">
        <v>4040</v>
      </c>
      <c r="I140" s="4" t="s">
        <v>3054</v>
      </c>
      <c r="J140" s="13">
        <v>40428.678981481484</v>
      </c>
      <c r="K140" s="4" t="s">
        <v>3668</v>
      </c>
      <c r="M140" s="4">
        <f>IFERROR(FIND(",",E140),0)</f>
        <v>0</v>
      </c>
      <c r="N140" s="4">
        <f>LEN(E140)</f>
        <v>17</v>
      </c>
    </row>
    <row r="141" spans="1:14" outlineLevel="2" x14ac:dyDescent="0.3">
      <c r="A141" t="s">
        <v>5290</v>
      </c>
      <c r="B141" t="s">
        <v>618</v>
      </c>
      <c r="C141" s="1">
        <v>29382</v>
      </c>
      <c r="D141" t="s">
        <v>2139</v>
      </c>
      <c r="E141" t="s">
        <v>1960</v>
      </c>
      <c r="F141" t="str">
        <f>IF(separador &gt; 0, LEFT(E141,separador - 1), E141)</f>
        <v>London</v>
      </c>
      <c r="G141" t="str">
        <f>IF(separador &gt; 0, RIGHT(E141,largo -separador - 1),"-")</f>
        <v>-</v>
      </c>
      <c r="H141" t="s">
        <v>4286</v>
      </c>
      <c r="I141" t="s">
        <v>3296</v>
      </c>
      <c r="J141" s="2">
        <v>39303.910671296297</v>
      </c>
      <c r="K141" t="s">
        <v>3668</v>
      </c>
      <c r="M141">
        <f>IFERROR(FIND(",",E141),0)</f>
        <v>0</v>
      </c>
      <c r="N141">
        <f>LEN(E141)</f>
        <v>6</v>
      </c>
    </row>
    <row r="142" spans="1:14" outlineLevel="2" x14ac:dyDescent="0.3">
      <c r="A142" s="4" t="s">
        <v>4891</v>
      </c>
      <c r="B142" s="4" t="s">
        <v>219</v>
      </c>
      <c r="C142" s="12">
        <v>29372</v>
      </c>
      <c r="D142" s="4" t="s">
        <v>1432</v>
      </c>
      <c r="E142" s="4" t="s">
        <v>1433</v>
      </c>
      <c r="F142" s="4" t="str">
        <f>IF(separador &gt; 0, LEFT(E142,separador - 1), E142)</f>
        <v>78 Devon St.</v>
      </c>
      <c r="G142" s="4" t="str">
        <f>IF(separador &gt; 0, RIGHT(E142,largo -separador - 1),"-")</f>
        <v>-</v>
      </c>
      <c r="H142" s="4" t="s">
        <v>3887</v>
      </c>
      <c r="I142" s="4" t="s">
        <v>2902</v>
      </c>
      <c r="J142" s="13">
        <v>38851.53328703704</v>
      </c>
      <c r="K142" s="4" t="s">
        <v>3668</v>
      </c>
      <c r="M142" s="4">
        <f>IFERROR(FIND(",",E142),0)</f>
        <v>0</v>
      </c>
      <c r="N142" s="4">
        <f>LEN(E142)</f>
        <v>12</v>
      </c>
    </row>
    <row r="143" spans="1:14" outlineLevel="2" x14ac:dyDescent="0.3">
      <c r="A143" t="s">
        <v>5514</v>
      </c>
      <c r="B143" t="s">
        <v>842</v>
      </c>
      <c r="C143" s="1">
        <v>29322</v>
      </c>
      <c r="D143" t="s">
        <v>2485</v>
      </c>
      <c r="E143" t="s">
        <v>2486</v>
      </c>
      <c r="F143" t="str">
        <f>IF(separador &gt; 0, LEFT(E143,separador - 1), E143)</f>
        <v>Jamaica</v>
      </c>
      <c r="G143" t="str">
        <f>IF(separador &gt; 0, RIGHT(E143,largo -separador - 1),"-")</f>
        <v>NY 11435</v>
      </c>
      <c r="H143" t="s">
        <v>4510</v>
      </c>
      <c r="I143" t="s">
        <v>3513</v>
      </c>
      <c r="J143" s="2">
        <v>42927.409386574072</v>
      </c>
      <c r="K143" t="s">
        <v>3668</v>
      </c>
      <c r="M143">
        <f>IFERROR(FIND(",",E143),0)</f>
        <v>8</v>
      </c>
      <c r="N143">
        <f>LEN(E143)</f>
        <v>17</v>
      </c>
    </row>
    <row r="144" spans="1:14" outlineLevel="2" x14ac:dyDescent="0.3">
      <c r="A144" s="4" t="s">
        <v>5107</v>
      </c>
      <c r="B144" s="4" t="s">
        <v>435</v>
      </c>
      <c r="C144" s="12">
        <v>29298</v>
      </c>
      <c r="D144" s="4" t="s">
        <v>1863</v>
      </c>
      <c r="E144" s="4" t="s">
        <v>1864</v>
      </c>
      <c r="F144" s="4" t="str">
        <f>IF(separador &gt; 0, LEFT(E144,separador - 1), E144)</f>
        <v>832 West Dunbar Court</v>
      </c>
      <c r="G144" s="4" t="str">
        <f>IF(separador &gt; 0, RIGHT(E144,largo -separador - 1),"-")</f>
        <v>-</v>
      </c>
      <c r="H144" s="4" t="s">
        <v>4103</v>
      </c>
      <c r="I144" s="4" t="s">
        <v>3116</v>
      </c>
      <c r="J144" s="13">
        <v>41929.958761574075</v>
      </c>
      <c r="K144" s="4" t="s">
        <v>3668</v>
      </c>
      <c r="M144" s="4">
        <f>IFERROR(FIND(",",E144),0)</f>
        <v>0</v>
      </c>
      <c r="N144" s="4">
        <f>LEN(E144)</f>
        <v>21</v>
      </c>
    </row>
    <row r="145" spans="1:14" outlineLevel="2" x14ac:dyDescent="0.3">
      <c r="A145" t="s">
        <v>4977</v>
      </c>
      <c r="B145" t="s">
        <v>305</v>
      </c>
      <c r="C145" s="1">
        <v>29218</v>
      </c>
      <c r="D145" t="s">
        <v>1604</v>
      </c>
      <c r="E145" t="s">
        <v>1605</v>
      </c>
      <c r="F145" t="str">
        <f>IF(separador &gt; 0, LEFT(E145,separador - 1), E145)</f>
        <v>37 Peninsula Street</v>
      </c>
      <c r="G145" t="str">
        <f>IF(separador &gt; 0, RIGHT(E145,largo -separador - 1),"-")</f>
        <v>-</v>
      </c>
      <c r="H145" t="s">
        <v>3973</v>
      </c>
      <c r="I145" t="s">
        <v>2987</v>
      </c>
      <c r="J145" s="2">
        <v>38931.877152777779</v>
      </c>
      <c r="K145" t="s">
        <v>3668</v>
      </c>
      <c r="M145">
        <f>IFERROR(FIND(",",E145),0)</f>
        <v>0</v>
      </c>
      <c r="N145">
        <f>LEN(E145)</f>
        <v>19</v>
      </c>
    </row>
    <row r="146" spans="1:14" outlineLevel="2" x14ac:dyDescent="0.3">
      <c r="A146" s="4" t="s">
        <v>5376</v>
      </c>
      <c r="B146" s="4" t="s">
        <v>704</v>
      </c>
      <c r="C146" s="12">
        <v>29162</v>
      </c>
      <c r="D146" s="4" t="s">
        <v>1960</v>
      </c>
      <c r="E146" s="4" t="s">
        <v>2253</v>
      </c>
      <c r="F146" s="4" t="str">
        <f>IF(separador &gt; 0, LEFT(E146,separador - 1), E146)</f>
        <v>SW43 0ZK</v>
      </c>
      <c r="G146" s="4" t="str">
        <f>IF(separador &gt; 0, RIGHT(E146,largo -separador - 1),"-")</f>
        <v>-</v>
      </c>
      <c r="H146" s="4" t="s">
        <v>4372</v>
      </c>
      <c r="I146" s="4" t="s">
        <v>3380</v>
      </c>
      <c r="J146" s="13">
        <v>43215.082418981481</v>
      </c>
      <c r="K146" s="4" t="s">
        <v>3668</v>
      </c>
      <c r="M146" s="4">
        <f>IFERROR(FIND(",",E146),0)</f>
        <v>0</v>
      </c>
      <c r="N146" s="4">
        <f>LEN(E146)</f>
        <v>8</v>
      </c>
    </row>
    <row r="147" spans="1:14" outlineLevel="2" x14ac:dyDescent="0.3">
      <c r="A147" t="s">
        <v>5620</v>
      </c>
      <c r="B147" t="s">
        <v>948</v>
      </c>
      <c r="C147" s="1">
        <v>29151</v>
      </c>
      <c r="D147" t="s">
        <v>2635</v>
      </c>
      <c r="E147" t="s">
        <v>2498</v>
      </c>
      <c r="F147" t="str">
        <f>IF(separador &gt; 0, LEFT(E147,separador - 1), E147)</f>
        <v>Far Rockaway</v>
      </c>
      <c r="G147" t="str">
        <f>IF(separador &gt; 0, RIGHT(E147,largo -separador - 1),"-")</f>
        <v>NY 11691</v>
      </c>
      <c r="H147" t="s">
        <v>4616</v>
      </c>
      <c r="I147" t="s">
        <v>3617</v>
      </c>
      <c r="J147" s="2">
        <v>41942.188067129631</v>
      </c>
      <c r="K147" t="s">
        <v>3668</v>
      </c>
      <c r="M147">
        <f>IFERROR(FIND(",",E147),0)</f>
        <v>13</v>
      </c>
      <c r="N147">
        <f>LEN(E147)</f>
        <v>22</v>
      </c>
    </row>
    <row r="148" spans="1:14" outlineLevel="2" x14ac:dyDescent="0.3">
      <c r="A148" s="4" t="s">
        <v>5002</v>
      </c>
      <c r="B148" s="4" t="s">
        <v>330</v>
      </c>
      <c r="C148" s="12">
        <v>29111</v>
      </c>
      <c r="D148" s="4" t="s">
        <v>1654</v>
      </c>
      <c r="E148" s="4" t="s">
        <v>1655</v>
      </c>
      <c r="F148" s="4" t="str">
        <f>IF(separador &gt; 0, LEFT(E148,separador - 1), E148)</f>
        <v>212 Canal St.</v>
      </c>
      <c r="G148" s="4" t="str">
        <f>IF(separador &gt; 0, RIGHT(E148,largo -separador - 1),"-")</f>
        <v>-</v>
      </c>
      <c r="H148" s="4" t="s">
        <v>3998</v>
      </c>
      <c r="I148" s="4" t="s">
        <v>3012</v>
      </c>
      <c r="J148" s="13">
        <v>41388.445486111108</v>
      </c>
      <c r="K148" s="4" t="s">
        <v>3668</v>
      </c>
      <c r="M148" s="4">
        <f>IFERROR(FIND(",",E148),0)</f>
        <v>0</v>
      </c>
      <c r="N148" s="4">
        <f>LEN(E148)</f>
        <v>13</v>
      </c>
    </row>
    <row r="149" spans="1:14" outlineLevel="2" x14ac:dyDescent="0.3">
      <c r="A149" t="s">
        <v>4849</v>
      </c>
      <c r="B149" t="s">
        <v>177</v>
      </c>
      <c r="C149" s="1">
        <v>29102</v>
      </c>
      <c r="D149" t="s">
        <v>1348</v>
      </c>
      <c r="E149" t="s">
        <v>1349</v>
      </c>
      <c r="F149" t="str">
        <f>IF(separador &gt; 0, LEFT(E149,separador - 1), E149)</f>
        <v>Hayward</v>
      </c>
      <c r="G149" t="str">
        <f>IF(separador &gt; 0, RIGHT(E149,largo -separador - 1),"-")</f>
        <v>CA 94544</v>
      </c>
      <c r="H149" t="s">
        <v>3845</v>
      </c>
      <c r="I149" t="s">
        <v>2830</v>
      </c>
      <c r="J149" s="2">
        <v>39809.341678240744</v>
      </c>
      <c r="K149" t="s">
        <v>3668</v>
      </c>
      <c r="M149">
        <f>IFERROR(FIND(",",E149),0)</f>
        <v>8</v>
      </c>
      <c r="N149">
        <f>LEN(E149)</f>
        <v>17</v>
      </c>
    </row>
    <row r="150" spans="1:14" outlineLevel="2" x14ac:dyDescent="0.3">
      <c r="A150" s="4" t="s">
        <v>5600</v>
      </c>
      <c r="B150" s="4" t="s">
        <v>928</v>
      </c>
      <c r="C150" s="12">
        <v>29036</v>
      </c>
      <c r="D150" s="4" t="s">
        <v>2615</v>
      </c>
      <c r="E150" s="4" t="s">
        <v>2474</v>
      </c>
      <c r="F150" s="4" t="str">
        <f>IF(separador &gt; 0, LEFT(E150,separador - 1), E150)</f>
        <v>Forest Hills</v>
      </c>
      <c r="G150" s="4" t="str">
        <f>IF(separador &gt; 0, RIGHT(E150,largo -separador - 1),"-")</f>
        <v>NY 11375</v>
      </c>
      <c r="H150" s="4" t="s">
        <v>4596</v>
      </c>
      <c r="I150" s="4" t="s">
        <v>3597</v>
      </c>
      <c r="J150" s="13">
        <v>43786.40121527778</v>
      </c>
      <c r="K150" s="4" t="s">
        <v>3668</v>
      </c>
      <c r="M150" s="4">
        <f>IFERROR(FIND(",",E150),0)</f>
        <v>13</v>
      </c>
      <c r="N150" s="4">
        <f>LEN(E150)</f>
        <v>22</v>
      </c>
    </row>
    <row r="151" spans="1:14" outlineLevel="2" x14ac:dyDescent="0.3">
      <c r="A151" t="s">
        <v>5139</v>
      </c>
      <c r="B151" t="s">
        <v>467</v>
      </c>
      <c r="C151" s="1">
        <v>28991</v>
      </c>
      <c r="D151" t="s">
        <v>1927</v>
      </c>
      <c r="E151" t="s">
        <v>1928</v>
      </c>
      <c r="F151" t="str">
        <f>IF(separador &gt; 0, LEFT(E151,separador - 1), E151)</f>
        <v>Miami</v>
      </c>
      <c r="G151" t="str">
        <f>IF(separador &gt; 0, RIGHT(E151,largo -separador - 1),"-")</f>
        <v>FL 33169</v>
      </c>
      <c r="H151" t="s">
        <v>4135</v>
      </c>
      <c r="I151" t="s">
        <v>3148</v>
      </c>
      <c r="J151" s="2">
        <v>38441.913854166669</v>
      </c>
      <c r="K151" t="s">
        <v>3668</v>
      </c>
      <c r="M151">
        <f>IFERROR(FIND(",",E151),0)</f>
        <v>6</v>
      </c>
      <c r="N151">
        <f>LEN(E151)</f>
        <v>15</v>
      </c>
    </row>
    <row r="152" spans="1:14" outlineLevel="2" x14ac:dyDescent="0.3">
      <c r="A152" s="4" t="s">
        <v>5071</v>
      </c>
      <c r="B152" s="4" t="s">
        <v>399</v>
      </c>
      <c r="C152" s="12">
        <v>28953</v>
      </c>
      <c r="D152" s="4" t="s">
        <v>1792</v>
      </c>
      <c r="E152" s="4" t="s">
        <v>1793</v>
      </c>
      <c r="F152" s="4" t="str">
        <f>IF(separador &gt; 0, LEFT(E152,separador - 1), E152)</f>
        <v>719 Penn Dr.</v>
      </c>
      <c r="G152" s="4" t="str">
        <f>IF(separador &gt; 0, RIGHT(E152,largo -separador - 1),"-")</f>
        <v>-</v>
      </c>
      <c r="H152" s="4" t="s">
        <v>4067</v>
      </c>
      <c r="I152" s="4" t="s">
        <v>3081</v>
      </c>
      <c r="J152" s="13">
        <v>44165.012245370373</v>
      </c>
      <c r="K152" s="4" t="s">
        <v>3668</v>
      </c>
      <c r="M152" s="4">
        <f>IFERROR(FIND(",",E152),0)</f>
        <v>0</v>
      </c>
      <c r="N152" s="4">
        <f>LEN(E152)</f>
        <v>12</v>
      </c>
    </row>
    <row r="153" spans="1:14" outlineLevel="2" x14ac:dyDescent="0.3">
      <c r="A153" t="s">
        <v>4725</v>
      </c>
      <c r="B153" t="s">
        <v>53</v>
      </c>
      <c r="C153" s="1">
        <v>28874</v>
      </c>
      <c r="D153" t="s">
        <v>1100</v>
      </c>
      <c r="E153" t="s">
        <v>1101</v>
      </c>
      <c r="F153" t="str">
        <f>IF(separador &gt; 0, LEFT(E153,separador - 1), E153)</f>
        <v>DN36 9AT</v>
      </c>
      <c r="G153" t="str">
        <f>IF(separador &gt; 0, RIGHT(E153,largo -separador - 1),"-")</f>
        <v>-</v>
      </c>
      <c r="H153" t="s">
        <v>3721</v>
      </c>
      <c r="I153" t="s">
        <v>2739</v>
      </c>
      <c r="J153" s="2">
        <v>40874.840925925928</v>
      </c>
      <c r="K153" t="s">
        <v>3668</v>
      </c>
      <c r="M153">
        <f>IFERROR(FIND(",",E153),0)</f>
        <v>0</v>
      </c>
      <c r="N153">
        <f>LEN(E153)</f>
        <v>8</v>
      </c>
    </row>
    <row r="154" spans="1:14" outlineLevel="2" x14ac:dyDescent="0.3">
      <c r="A154" s="4" t="s">
        <v>4802</v>
      </c>
      <c r="B154" s="4" t="s">
        <v>130</v>
      </c>
      <c r="C154" s="12">
        <v>28836</v>
      </c>
      <c r="D154" s="4" t="s">
        <v>1254</v>
      </c>
      <c r="E154" s="4" t="s">
        <v>1255</v>
      </c>
      <c r="F154" s="4" t="str">
        <f>IF(separador &gt; 0, LEFT(E154,separador - 1), E154)</f>
        <v>Carmichael</v>
      </c>
      <c r="G154" s="4" t="str">
        <f>IF(separador &gt; 0, RIGHT(E154,largo -separador - 1),"-")</f>
        <v>CA 95608</v>
      </c>
      <c r="H154" s="4" t="s">
        <v>3798</v>
      </c>
      <c r="I154" s="4" t="s">
        <v>2816</v>
      </c>
      <c r="J154" s="13">
        <v>40826.105636574073</v>
      </c>
      <c r="K154" s="4" t="s">
        <v>3668</v>
      </c>
      <c r="M154" s="4">
        <f>IFERROR(FIND(",",E154),0)</f>
        <v>11</v>
      </c>
      <c r="N154" s="4">
        <f>LEN(E154)</f>
        <v>20</v>
      </c>
    </row>
    <row r="155" spans="1:14" outlineLevel="2" x14ac:dyDescent="0.3">
      <c r="A155" t="s">
        <v>5382</v>
      </c>
      <c r="B155" t="s">
        <v>710</v>
      </c>
      <c r="C155" s="1">
        <v>28748</v>
      </c>
      <c r="D155" t="s">
        <v>1960</v>
      </c>
      <c r="E155" t="s">
        <v>2261</v>
      </c>
      <c r="F155" t="str">
        <f>IF(separador &gt; 0, LEFT(E155,separador - 1), E155)</f>
        <v>SE15 3HN</v>
      </c>
      <c r="G155" t="str">
        <f>IF(separador &gt; 0, RIGHT(E155,largo -separador - 1),"-")</f>
        <v>-</v>
      </c>
      <c r="H155" t="s">
        <v>4378</v>
      </c>
      <c r="I155" t="s">
        <v>3385</v>
      </c>
      <c r="J155" s="2">
        <v>38950.725208333337</v>
      </c>
      <c r="K155" t="s">
        <v>3668</v>
      </c>
      <c r="M155">
        <f>IFERROR(FIND(",",E155),0)</f>
        <v>0</v>
      </c>
      <c r="N155">
        <f>LEN(E155)</f>
        <v>8</v>
      </c>
    </row>
    <row r="156" spans="1:14" outlineLevel="2" x14ac:dyDescent="0.3">
      <c r="A156" s="4" t="s">
        <v>5022</v>
      </c>
      <c r="B156" s="4" t="s">
        <v>350</v>
      </c>
      <c r="C156" s="12">
        <v>28735</v>
      </c>
      <c r="D156" s="4" t="s">
        <v>1694</v>
      </c>
      <c r="E156" s="4" t="s">
        <v>1695</v>
      </c>
      <c r="F156" s="4" t="str">
        <f>IF(separador &gt; 0, LEFT(E156,separador - 1), E156)</f>
        <v>16 Monroe Dr.</v>
      </c>
      <c r="G156" s="4" t="str">
        <f>IF(separador &gt; 0, RIGHT(E156,largo -separador - 1),"-")</f>
        <v>-</v>
      </c>
      <c r="H156" s="4" t="s">
        <v>4018</v>
      </c>
      <c r="I156" s="4" t="s">
        <v>3032</v>
      </c>
      <c r="J156" s="13">
        <v>39105.531157407408</v>
      </c>
      <c r="K156" s="4" t="s">
        <v>3668</v>
      </c>
      <c r="M156" s="4">
        <f>IFERROR(FIND(",",E156),0)</f>
        <v>0</v>
      </c>
      <c r="N156" s="4">
        <f>LEN(E156)</f>
        <v>13</v>
      </c>
    </row>
    <row r="157" spans="1:14" outlineLevel="2" x14ac:dyDescent="0.3">
      <c r="A157" t="s">
        <v>5405</v>
      </c>
      <c r="B157" t="s">
        <v>733</v>
      </c>
      <c r="C157" s="1">
        <v>28573</v>
      </c>
      <c r="D157" t="s">
        <v>2291</v>
      </c>
      <c r="E157" t="s">
        <v>2292</v>
      </c>
      <c r="F157" t="str">
        <f>IF(separador &gt; 0, LEFT(E157,separador - 1), E157)</f>
        <v>21 Alexander Road</v>
      </c>
      <c r="G157" t="str">
        <f>IF(separador &gt; 0, RIGHT(E157,largo -separador - 1),"-")</f>
        <v>-</v>
      </c>
      <c r="H157" t="s">
        <v>4401</v>
      </c>
      <c r="I157" t="s">
        <v>3408</v>
      </c>
      <c r="J157" s="2">
        <v>40597.134085648147</v>
      </c>
      <c r="K157" t="s">
        <v>3668</v>
      </c>
      <c r="M157">
        <f>IFERROR(FIND(",",E157),0)</f>
        <v>0</v>
      </c>
      <c r="N157">
        <f>LEN(E157)</f>
        <v>17</v>
      </c>
    </row>
    <row r="158" spans="1:14" outlineLevel="2" x14ac:dyDescent="0.3">
      <c r="A158" s="4" t="s">
        <v>4985</v>
      </c>
      <c r="B158" s="4" t="s">
        <v>313</v>
      </c>
      <c r="C158" s="12">
        <v>28570</v>
      </c>
      <c r="D158" s="4" t="s">
        <v>1620</v>
      </c>
      <c r="E158" s="4" t="s">
        <v>1621</v>
      </c>
      <c r="F158" s="4" t="str">
        <f>IF(separador &gt; 0, LEFT(E158,separador - 1), E158)</f>
        <v>60 Carpenter Street</v>
      </c>
      <c r="G158" s="4" t="str">
        <f>IF(separador &gt; 0, RIGHT(E158,largo -separador - 1),"-")</f>
        <v>-</v>
      </c>
      <c r="H158" s="4" t="s">
        <v>3981</v>
      </c>
      <c r="I158" s="4" t="s">
        <v>2995</v>
      </c>
      <c r="J158" s="13">
        <v>41638.743819444448</v>
      </c>
      <c r="K158" s="4" t="s">
        <v>3668</v>
      </c>
      <c r="M158" s="4">
        <f>IFERROR(FIND(",",E158),0)</f>
        <v>0</v>
      </c>
      <c r="N158" s="4">
        <f>LEN(E158)</f>
        <v>19</v>
      </c>
    </row>
    <row r="159" spans="1:14" outlineLevel="2" x14ac:dyDescent="0.3">
      <c r="A159" t="s">
        <v>4939</v>
      </c>
      <c r="B159" t="s">
        <v>267</v>
      </c>
      <c r="C159" s="1">
        <v>28558</v>
      </c>
      <c r="D159" t="s">
        <v>1528</v>
      </c>
      <c r="E159" t="s">
        <v>1529</v>
      </c>
      <c r="F159" t="str">
        <f>IF(separador &gt; 0, LEFT(E159,separador - 1), E159)</f>
        <v>91 Pineknoll Ave.</v>
      </c>
      <c r="G159" t="str">
        <f>IF(separador &gt; 0, RIGHT(E159,largo -separador - 1),"-")</f>
        <v>-</v>
      </c>
      <c r="H159" t="s">
        <v>3935</v>
      </c>
      <c r="I159" t="s">
        <v>2950</v>
      </c>
      <c r="J159" s="2">
        <v>39678.918865740743</v>
      </c>
      <c r="K159" t="s">
        <v>3668</v>
      </c>
      <c r="M159">
        <f>IFERROR(FIND(",",E159),0)</f>
        <v>0</v>
      </c>
      <c r="N159">
        <f>LEN(E159)</f>
        <v>17</v>
      </c>
    </row>
    <row r="160" spans="1:14" outlineLevel="2" x14ac:dyDescent="0.3">
      <c r="A160" s="4" t="s">
        <v>5142</v>
      </c>
      <c r="B160" s="4" t="s">
        <v>470</v>
      </c>
      <c r="C160" s="12">
        <v>28557</v>
      </c>
      <c r="D160" s="4" t="s">
        <v>1933</v>
      </c>
      <c r="E160" s="4" t="s">
        <v>1934</v>
      </c>
      <c r="F160" s="4" t="str">
        <f>IF(separador &gt; 0, LEFT(E160,separador - 1), E160)</f>
        <v>Stuart</v>
      </c>
      <c r="G160" s="4" t="str">
        <f>IF(separador &gt; 0, RIGHT(E160,largo -separador - 1),"-")</f>
        <v>FL 34997</v>
      </c>
      <c r="H160" s="4" t="s">
        <v>4138</v>
      </c>
      <c r="I160" s="4" t="s">
        <v>3151</v>
      </c>
      <c r="J160" s="13">
        <v>42371.562002314815</v>
      </c>
      <c r="K160" s="4" t="s">
        <v>3668</v>
      </c>
      <c r="M160" s="4">
        <f>IFERROR(FIND(",",E160),0)</f>
        <v>7</v>
      </c>
      <c r="N160" s="4">
        <f>LEN(E160)</f>
        <v>16</v>
      </c>
    </row>
    <row r="161" spans="1:14" outlineLevel="2" x14ac:dyDescent="0.3">
      <c r="A161" t="s">
        <v>5575</v>
      </c>
      <c r="B161" t="s">
        <v>903</v>
      </c>
      <c r="C161" s="1">
        <v>28533</v>
      </c>
      <c r="D161" t="s">
        <v>2590</v>
      </c>
      <c r="E161" t="s">
        <v>2374</v>
      </c>
      <c r="F161" t="str">
        <f>IF(separador &gt; 0, LEFT(E161,separador - 1), E161)</f>
        <v>West Babylon</v>
      </c>
      <c r="G161" t="str">
        <f>IF(separador &gt; 0, RIGHT(E161,largo -separador - 1),"-")</f>
        <v>NY 11704</v>
      </c>
      <c r="H161" t="s">
        <v>4571</v>
      </c>
      <c r="I161" t="s">
        <v>3573</v>
      </c>
      <c r="J161" s="2">
        <v>40518.38821759259</v>
      </c>
      <c r="K161" t="s">
        <v>3668</v>
      </c>
      <c r="M161">
        <f>IFERROR(FIND(",",E161),0)</f>
        <v>13</v>
      </c>
      <c r="N161">
        <f>LEN(E161)</f>
        <v>22</v>
      </c>
    </row>
    <row r="162" spans="1:14" outlineLevel="2" x14ac:dyDescent="0.3">
      <c r="A162" s="4" t="s">
        <v>5385</v>
      </c>
      <c r="B162" s="4" t="s">
        <v>713</v>
      </c>
      <c r="C162" s="12">
        <v>28443</v>
      </c>
      <c r="D162" s="4" t="s">
        <v>1960</v>
      </c>
      <c r="E162" s="4" t="s">
        <v>2265</v>
      </c>
      <c r="F162" s="4" t="str">
        <f>IF(separador &gt; 0, LEFT(E162,separador - 1), E162)</f>
        <v>NW83 9CK</v>
      </c>
      <c r="G162" s="4" t="str">
        <f>IF(separador &gt; 0, RIGHT(E162,largo -separador - 1),"-")</f>
        <v>-</v>
      </c>
      <c r="H162" s="4" t="s">
        <v>4381</v>
      </c>
      <c r="I162" s="4" t="s">
        <v>3388</v>
      </c>
      <c r="J162" s="13">
        <v>41130.728483796294</v>
      </c>
      <c r="K162" s="4" t="s">
        <v>3668</v>
      </c>
      <c r="M162" s="4">
        <f>IFERROR(FIND(",",E162),0)</f>
        <v>0</v>
      </c>
      <c r="N162" s="4">
        <f>LEN(E162)</f>
        <v>8</v>
      </c>
    </row>
    <row r="163" spans="1:14" outlineLevel="2" x14ac:dyDescent="0.3">
      <c r="A163" t="s">
        <v>4744</v>
      </c>
      <c r="B163" t="s">
        <v>72</v>
      </c>
      <c r="C163" s="1">
        <v>28438</v>
      </c>
      <c r="D163" t="s">
        <v>1138</v>
      </c>
      <c r="E163" t="s">
        <v>1139</v>
      </c>
      <c r="F163" t="str">
        <f>IF(separador &gt; 0, LEFT(E163,separador - 1), E163)</f>
        <v>CARLISLE</v>
      </c>
      <c r="G163" t="str">
        <f>IF(separador &gt; 0, RIGHT(E163,largo -separador - 1),"-")</f>
        <v>-</v>
      </c>
      <c r="H163" t="s">
        <v>3740</v>
      </c>
      <c r="I163" t="s">
        <v>2758</v>
      </c>
      <c r="J163" s="2">
        <v>39018.031458333331</v>
      </c>
      <c r="K163" t="s">
        <v>3668</v>
      </c>
      <c r="M163">
        <f>IFERROR(FIND(",",E163),0)</f>
        <v>0</v>
      </c>
      <c r="N163">
        <f>LEN(E163)</f>
        <v>8</v>
      </c>
    </row>
    <row r="164" spans="1:14" outlineLevel="2" x14ac:dyDescent="0.3">
      <c r="A164" s="4" t="s">
        <v>5102</v>
      </c>
      <c r="B164" s="4" t="s">
        <v>430</v>
      </c>
      <c r="C164" s="12">
        <v>28370</v>
      </c>
      <c r="D164" s="4" t="s">
        <v>1853</v>
      </c>
      <c r="E164" s="4" t="s">
        <v>1854</v>
      </c>
      <c r="F164" s="4" t="str">
        <f>IF(separador &gt; 0, LEFT(E164,separador - 1), E164)</f>
        <v>709 Foxrun Ave.</v>
      </c>
      <c r="G164" s="4" t="str">
        <f>IF(separador &gt; 0, RIGHT(E164,largo -separador - 1),"-")</f>
        <v>-</v>
      </c>
      <c r="H164" s="4" t="s">
        <v>4098</v>
      </c>
      <c r="I164" s="4" t="s">
        <v>3111</v>
      </c>
      <c r="J164" s="13">
        <v>43144.032523148147</v>
      </c>
      <c r="K164" s="4" t="s">
        <v>3668</v>
      </c>
      <c r="M164" s="4">
        <f>IFERROR(FIND(",",E164),0)</f>
        <v>0</v>
      </c>
      <c r="N164" s="4">
        <f>LEN(E164)</f>
        <v>15</v>
      </c>
    </row>
    <row r="165" spans="1:14" outlineLevel="2" x14ac:dyDescent="0.3">
      <c r="A165" t="s">
        <v>4928</v>
      </c>
      <c r="B165" t="s">
        <v>256</v>
      </c>
      <c r="C165" s="1">
        <v>28352</v>
      </c>
      <c r="D165" t="s">
        <v>1506</v>
      </c>
      <c r="E165" t="s">
        <v>1507</v>
      </c>
      <c r="F165" t="str">
        <f>IF(separador &gt; 0, LEFT(E165,separador - 1), E165)</f>
        <v>7963 Third St.</v>
      </c>
      <c r="G165" t="str">
        <f>IF(separador &gt; 0, RIGHT(E165,largo -separador - 1),"-")</f>
        <v>-</v>
      </c>
      <c r="H165" t="s">
        <v>3924</v>
      </c>
      <c r="I165" t="s">
        <v>2939</v>
      </c>
      <c r="J165" s="2">
        <v>41490.739224537036</v>
      </c>
      <c r="K165" t="s">
        <v>3668</v>
      </c>
      <c r="M165">
        <f>IFERROR(FIND(",",E165),0)</f>
        <v>0</v>
      </c>
      <c r="N165">
        <f>LEN(E165)</f>
        <v>14</v>
      </c>
    </row>
    <row r="166" spans="1:14" outlineLevel="2" x14ac:dyDescent="0.3">
      <c r="A166" s="4" t="s">
        <v>4815</v>
      </c>
      <c r="B166" s="4" t="s">
        <v>143</v>
      </c>
      <c r="C166" s="12">
        <v>28246</v>
      </c>
      <c r="D166" s="4" t="s">
        <v>1280</v>
      </c>
      <c r="E166" s="4" t="s">
        <v>1281</v>
      </c>
      <c r="F166" s="4" t="str">
        <f>IF(separador &gt; 0, LEFT(E166,separador - 1), E166)</f>
        <v>Pomona</v>
      </c>
      <c r="G166" s="4" t="str">
        <f>IF(separador &gt; 0, RIGHT(E166,largo -separador - 1),"-")</f>
        <v>CA 91766</v>
      </c>
      <c r="H166" s="4" t="s">
        <v>3811</v>
      </c>
      <c r="I166" s="4" t="s">
        <v>2829</v>
      </c>
      <c r="J166" s="13">
        <v>43584.448067129626</v>
      </c>
      <c r="K166" s="4" t="s">
        <v>3668</v>
      </c>
      <c r="M166" s="4">
        <f>IFERROR(FIND(",",E166),0)</f>
        <v>7</v>
      </c>
      <c r="N166" s="4">
        <f>LEN(E166)</f>
        <v>16</v>
      </c>
    </row>
    <row r="167" spans="1:14" outlineLevel="2" x14ac:dyDescent="0.3">
      <c r="A167" t="s">
        <v>5675</v>
      </c>
      <c r="B167" t="s">
        <v>1003</v>
      </c>
      <c r="C167" s="1">
        <v>28099</v>
      </c>
      <c r="D167" t="s">
        <v>2690</v>
      </c>
      <c r="E167" t="s">
        <v>2552</v>
      </c>
      <c r="F167" t="str">
        <f>IF(separador &gt; 0, LEFT(E167,separador - 1), E167)</f>
        <v>New York</v>
      </c>
      <c r="G167" t="str">
        <f>IF(separador &gt; 0, RIGHT(E167,largo -separador - 1),"-")</f>
        <v>NY 10034</v>
      </c>
      <c r="H167" t="s">
        <v>4671</v>
      </c>
      <c r="I167" t="s">
        <v>3667</v>
      </c>
      <c r="J167" s="2">
        <v>43322.088252314818</v>
      </c>
      <c r="K167" t="s">
        <v>3668</v>
      </c>
      <c r="M167">
        <f>IFERROR(FIND(",",E167),0)</f>
        <v>9</v>
      </c>
      <c r="N167">
        <f>LEN(E167)</f>
        <v>18</v>
      </c>
    </row>
    <row r="168" spans="1:14" outlineLevel="2" x14ac:dyDescent="0.3">
      <c r="A168" s="4" t="s">
        <v>5520</v>
      </c>
      <c r="B168" s="4" t="s">
        <v>848</v>
      </c>
      <c r="C168" s="12">
        <v>28084</v>
      </c>
      <c r="D168" s="4" t="s">
        <v>2497</v>
      </c>
      <c r="E168" s="4" t="s">
        <v>2498</v>
      </c>
      <c r="F168" s="4" t="str">
        <f>IF(separador &gt; 0, LEFT(E168,separador - 1), E168)</f>
        <v>Far Rockaway</v>
      </c>
      <c r="G168" s="4" t="str">
        <f>IF(separador &gt; 0, RIGHT(E168,largo -separador - 1),"-")</f>
        <v>NY 11691</v>
      </c>
      <c r="H168" s="4" t="s">
        <v>4516</v>
      </c>
      <c r="I168" s="4" t="s">
        <v>3519</v>
      </c>
      <c r="J168" s="13">
        <v>42853.28733796296</v>
      </c>
      <c r="K168" s="4" t="s">
        <v>3668</v>
      </c>
      <c r="M168" s="4">
        <f>IFERROR(FIND(",",E168),0)</f>
        <v>13</v>
      </c>
      <c r="N168" s="4">
        <f>LEN(E168)</f>
        <v>22</v>
      </c>
    </row>
    <row r="169" spans="1:14" outlineLevel="2" x14ac:dyDescent="0.3">
      <c r="A169" t="s">
        <v>4747</v>
      </c>
      <c r="B169" t="s">
        <v>75</v>
      </c>
      <c r="C169" s="1">
        <v>28021</v>
      </c>
      <c r="D169" t="s">
        <v>1144</v>
      </c>
      <c r="E169" t="s">
        <v>1145</v>
      </c>
      <c r="F169" t="str">
        <f>IF(separador &gt; 0, LEFT(E169,separador - 1), E169)</f>
        <v>SWANSEA</v>
      </c>
      <c r="G169" t="str">
        <f>IF(separador &gt; 0, RIGHT(E169,largo -separador - 1),"-")</f>
        <v>-</v>
      </c>
      <c r="H169" t="s">
        <v>3743</v>
      </c>
      <c r="I169" t="s">
        <v>2761</v>
      </c>
      <c r="J169" s="2">
        <v>39442.242962962962</v>
      </c>
      <c r="K169" t="s">
        <v>3668</v>
      </c>
      <c r="M169">
        <f>IFERROR(FIND(",",E169),0)</f>
        <v>0</v>
      </c>
      <c r="N169">
        <f>LEN(E169)</f>
        <v>7</v>
      </c>
    </row>
    <row r="170" spans="1:14" outlineLevel="2" x14ac:dyDescent="0.3">
      <c r="A170" s="4" t="s">
        <v>5543</v>
      </c>
      <c r="B170" s="4" t="s">
        <v>871</v>
      </c>
      <c r="C170" s="12">
        <v>28004</v>
      </c>
      <c r="D170" s="4" t="s">
        <v>2543</v>
      </c>
      <c r="E170" s="4" t="s">
        <v>2544</v>
      </c>
      <c r="F170" s="4" t="str">
        <f>IF(separador &gt; 0, LEFT(E170,separador - 1), E170)</f>
        <v>New York</v>
      </c>
      <c r="G170" s="4" t="str">
        <f>IF(separador &gt; 0, RIGHT(E170,largo -separador - 1),"-")</f>
        <v>NY 10002</v>
      </c>
      <c r="H170" s="4" t="s">
        <v>4539</v>
      </c>
      <c r="I170" s="4" t="s">
        <v>3541</v>
      </c>
      <c r="J170" s="13">
        <v>41620.680810185186</v>
      </c>
      <c r="K170" s="4" t="s">
        <v>3668</v>
      </c>
      <c r="M170" s="4">
        <f>IFERROR(FIND(",",E170),0)</f>
        <v>9</v>
      </c>
      <c r="N170" s="4">
        <f>LEN(E170)</f>
        <v>18</v>
      </c>
    </row>
    <row r="171" spans="1:14" outlineLevel="2" x14ac:dyDescent="0.3">
      <c r="A171" t="s">
        <v>5349</v>
      </c>
      <c r="B171" t="s">
        <v>677</v>
      </c>
      <c r="C171" s="1">
        <v>27985</v>
      </c>
      <c r="D171" t="s">
        <v>1960</v>
      </c>
      <c r="E171" t="s">
        <v>2218</v>
      </c>
      <c r="F171" t="str">
        <f>IF(separador &gt; 0, LEFT(E171,separador - 1), E171)</f>
        <v>W39 2MS</v>
      </c>
      <c r="G171" t="str">
        <f>IF(separador &gt; 0, RIGHT(E171,largo -separador - 1),"-")</f>
        <v>-</v>
      </c>
      <c r="H171" t="s">
        <v>4345</v>
      </c>
      <c r="I171" t="s">
        <v>3353</v>
      </c>
      <c r="J171" s="2">
        <v>39929.033761574072</v>
      </c>
      <c r="K171" t="s">
        <v>3668</v>
      </c>
      <c r="M171">
        <f>IFERROR(FIND(",",E171),0)</f>
        <v>0</v>
      </c>
      <c r="N171">
        <f>LEN(E171)</f>
        <v>7</v>
      </c>
    </row>
    <row r="172" spans="1:14" outlineLevel="2" x14ac:dyDescent="0.3">
      <c r="A172" s="4" t="s">
        <v>5138</v>
      </c>
      <c r="B172" s="4" t="s">
        <v>466</v>
      </c>
      <c r="C172" s="12">
        <v>27943</v>
      </c>
      <c r="D172" s="4" t="s">
        <v>1925</v>
      </c>
      <c r="E172" s="4" t="s">
        <v>1926</v>
      </c>
      <c r="F172" s="4" t="str">
        <f>IF(separador &gt; 0, LEFT(E172,separador - 1), E172)</f>
        <v>North Miami Beach</v>
      </c>
      <c r="G172" s="4" t="str">
        <f>IF(separador &gt; 0, RIGHT(E172,largo -separador - 1),"-")</f>
        <v>FL 33160</v>
      </c>
      <c r="H172" s="4" t="s">
        <v>4134</v>
      </c>
      <c r="I172" s="4" t="s">
        <v>3147</v>
      </c>
      <c r="J172" s="13">
        <v>41849.680972222224</v>
      </c>
      <c r="K172" s="4" t="s">
        <v>3668</v>
      </c>
      <c r="M172" s="4">
        <f>IFERROR(FIND(",",E172),0)</f>
        <v>18</v>
      </c>
      <c r="N172" s="4">
        <f>LEN(E172)</f>
        <v>27</v>
      </c>
    </row>
    <row r="173" spans="1:14" outlineLevel="2" x14ac:dyDescent="0.3">
      <c r="A173" t="s">
        <v>5289</v>
      </c>
      <c r="B173" t="s">
        <v>617</v>
      </c>
      <c r="C173" s="1">
        <v>27942</v>
      </c>
      <c r="D173" t="s">
        <v>1960</v>
      </c>
      <c r="E173" t="s">
        <v>2138</v>
      </c>
      <c r="F173" t="str">
        <f>IF(separador &gt; 0, LEFT(E173,separador - 1), E173)</f>
        <v>SE06 9AR</v>
      </c>
      <c r="G173" t="str">
        <f>IF(separador &gt; 0, RIGHT(E173,largo -separador - 1),"-")</f>
        <v>-</v>
      </c>
      <c r="H173" t="s">
        <v>4285</v>
      </c>
      <c r="I173" t="s">
        <v>3295</v>
      </c>
      <c r="J173" s="2">
        <v>42441.580312500002</v>
      </c>
      <c r="K173" t="s">
        <v>3668</v>
      </c>
      <c r="M173">
        <f>IFERROR(FIND(",",E173),0)</f>
        <v>0</v>
      </c>
      <c r="N173">
        <f>LEN(E173)</f>
        <v>8</v>
      </c>
    </row>
    <row r="174" spans="1:14" outlineLevel="2" x14ac:dyDescent="0.3">
      <c r="A174" s="4" t="s">
        <v>5348</v>
      </c>
      <c r="B174" s="4" t="s">
        <v>676</v>
      </c>
      <c r="C174" s="12">
        <v>27925</v>
      </c>
      <c r="D174" s="4" t="s">
        <v>2216</v>
      </c>
      <c r="E174" s="4" t="s">
        <v>2217</v>
      </c>
      <c r="F174" s="4" t="str">
        <f>IF(separador &gt; 0, LEFT(E174,separador - 1), E174)</f>
        <v>477 London Road</v>
      </c>
      <c r="G174" s="4" t="str">
        <f>IF(separador &gt; 0, RIGHT(E174,largo -separador - 1),"-")</f>
        <v>-</v>
      </c>
      <c r="H174" s="4" t="s">
        <v>4344</v>
      </c>
      <c r="I174" s="4" t="s">
        <v>3352</v>
      </c>
      <c r="J174" s="13">
        <v>44175.83766203704</v>
      </c>
      <c r="K174" s="4" t="s">
        <v>3668</v>
      </c>
      <c r="M174" s="4">
        <f>IFERROR(FIND(",",E174),0)</f>
        <v>0</v>
      </c>
      <c r="N174" s="4">
        <f>LEN(E174)</f>
        <v>15</v>
      </c>
    </row>
    <row r="175" spans="1:14" outlineLevel="2" x14ac:dyDescent="0.3">
      <c r="A175" t="s">
        <v>5047</v>
      </c>
      <c r="B175" t="s">
        <v>375</v>
      </c>
      <c r="C175" s="1">
        <v>27876</v>
      </c>
      <c r="D175" t="s">
        <v>1744</v>
      </c>
      <c r="E175" t="s">
        <v>1745</v>
      </c>
      <c r="F175" t="str">
        <f>IF(separador &gt; 0, LEFT(E175,separador - 1), E175)</f>
        <v>9969 Primrose Drive</v>
      </c>
      <c r="G175" t="str">
        <f>IF(separador &gt; 0, RIGHT(E175,largo -separador - 1),"-")</f>
        <v>-</v>
      </c>
      <c r="H175" t="s">
        <v>4043</v>
      </c>
      <c r="I175" t="s">
        <v>3057</v>
      </c>
      <c r="J175" s="2">
        <v>42553.572118055556</v>
      </c>
      <c r="K175" t="s">
        <v>3668</v>
      </c>
      <c r="M175">
        <f>IFERROR(FIND(",",E175),0)</f>
        <v>0</v>
      </c>
      <c r="N175">
        <f>LEN(E175)</f>
        <v>19</v>
      </c>
    </row>
    <row r="176" spans="1:14" outlineLevel="2" x14ac:dyDescent="0.3">
      <c r="A176" s="4" t="s">
        <v>4927</v>
      </c>
      <c r="B176" s="4" t="s">
        <v>255</v>
      </c>
      <c r="C176" s="12">
        <v>27550</v>
      </c>
      <c r="D176" s="4" t="s">
        <v>1504</v>
      </c>
      <c r="E176" s="4" t="s">
        <v>1505</v>
      </c>
      <c r="F176" s="4" t="str">
        <f>IF(separador &gt; 0, LEFT(E176,separador - 1), E176)</f>
        <v>4 Maple Street</v>
      </c>
      <c r="G176" s="4" t="str">
        <f>IF(separador &gt; 0, RIGHT(E176,largo -separador - 1),"-")</f>
        <v>-</v>
      </c>
      <c r="H176" s="4" t="s">
        <v>3923</v>
      </c>
      <c r="I176" s="4" t="s">
        <v>2938</v>
      </c>
      <c r="J176" s="13">
        <v>43816.593391203707</v>
      </c>
      <c r="K176" s="4" t="s">
        <v>3668</v>
      </c>
      <c r="M176" s="4">
        <f>IFERROR(FIND(",",E176),0)</f>
        <v>0</v>
      </c>
      <c r="N176" s="4">
        <f>LEN(E176)</f>
        <v>14</v>
      </c>
    </row>
    <row r="177" spans="1:14" outlineLevel="2" x14ac:dyDescent="0.3">
      <c r="A177" t="s">
        <v>5381</v>
      </c>
      <c r="B177" t="s">
        <v>709</v>
      </c>
      <c r="C177" s="1">
        <v>27545</v>
      </c>
      <c r="D177" t="s">
        <v>2259</v>
      </c>
      <c r="E177" t="s">
        <v>2260</v>
      </c>
      <c r="F177" t="str">
        <f>IF(separador &gt; 0, LEFT(E177,separador - 1), E177)</f>
        <v>650 Queensway</v>
      </c>
      <c r="G177" t="str">
        <f>IF(separador &gt; 0, RIGHT(E177,largo -separador - 1),"-")</f>
        <v>-</v>
      </c>
      <c r="H177" t="s">
        <v>4377</v>
      </c>
      <c r="I177" t="s">
        <v>3384</v>
      </c>
      <c r="J177" s="2">
        <v>42076.595405092594</v>
      </c>
      <c r="K177" t="s">
        <v>3668</v>
      </c>
      <c r="M177">
        <f>IFERROR(FIND(",",E177),0)</f>
        <v>0</v>
      </c>
      <c r="N177">
        <f>LEN(E177)</f>
        <v>13</v>
      </c>
    </row>
    <row r="178" spans="1:14" outlineLevel="2" x14ac:dyDescent="0.3">
      <c r="A178" s="4" t="s">
        <v>5254</v>
      </c>
      <c r="B178" s="4" t="s">
        <v>582</v>
      </c>
      <c r="C178" s="12">
        <v>27538</v>
      </c>
      <c r="D178" s="4" t="s">
        <v>2091</v>
      </c>
      <c r="E178" s="4" t="s">
        <v>1960</v>
      </c>
      <c r="F178" s="4" t="str">
        <f>IF(separador &gt; 0, LEFT(E178,separador - 1), E178)</f>
        <v>London</v>
      </c>
      <c r="G178" s="4" t="str">
        <f>IF(separador &gt; 0, RIGHT(E178,largo -separador - 1),"-")</f>
        <v>-</v>
      </c>
      <c r="H178" s="4" t="s">
        <v>4250</v>
      </c>
      <c r="I178" s="4" t="s">
        <v>3260</v>
      </c>
      <c r="J178" s="13">
        <v>42592.498460648145</v>
      </c>
      <c r="K178" s="4" t="s">
        <v>3668</v>
      </c>
      <c r="M178" s="4">
        <f>IFERROR(FIND(",",E178),0)</f>
        <v>0</v>
      </c>
      <c r="N178" s="4">
        <f>LEN(E178)</f>
        <v>6</v>
      </c>
    </row>
    <row r="179" spans="1:14" outlineLevel="2" x14ac:dyDescent="0.3">
      <c r="A179" t="s">
        <v>4726</v>
      </c>
      <c r="B179" t="s">
        <v>54</v>
      </c>
      <c r="C179" s="1">
        <v>27279</v>
      </c>
      <c r="D179" t="s">
        <v>1102</v>
      </c>
      <c r="E179" t="s">
        <v>1103</v>
      </c>
      <c r="F179" t="str">
        <f>IF(separador &gt; 0, LEFT(E179,separador - 1), E179)</f>
        <v>BRIGHTON</v>
      </c>
      <c r="G179" t="str">
        <f>IF(separador &gt; 0, RIGHT(E179,largo -separador - 1),"-")</f>
        <v>-</v>
      </c>
      <c r="H179" t="s">
        <v>3722</v>
      </c>
      <c r="I179" t="s">
        <v>2740</v>
      </c>
      <c r="J179" s="2">
        <v>39982.265509259261</v>
      </c>
      <c r="K179" t="s">
        <v>3668</v>
      </c>
      <c r="M179">
        <f>IFERROR(FIND(",",E179),0)</f>
        <v>0</v>
      </c>
      <c r="N179">
        <f>LEN(E179)</f>
        <v>8</v>
      </c>
    </row>
    <row r="180" spans="1:14" outlineLevel="2" x14ac:dyDescent="0.3">
      <c r="A180" s="4" t="s">
        <v>4789</v>
      </c>
      <c r="B180" s="4" t="s">
        <v>117</v>
      </c>
      <c r="C180" s="12">
        <v>27233</v>
      </c>
      <c r="D180" s="4" t="s">
        <v>1228</v>
      </c>
      <c r="E180" s="4" t="s">
        <v>1229</v>
      </c>
      <c r="F180" s="4" t="str">
        <f>IF(separador &gt; 0, LEFT(E180,separador - 1), E180)</f>
        <v>HUDDERSFIELD</v>
      </c>
      <c r="G180" s="4" t="str">
        <f>IF(separador &gt; 0, RIGHT(E180,largo -separador - 1),"-")</f>
        <v>-</v>
      </c>
      <c r="H180" s="4" t="s">
        <v>3785</v>
      </c>
      <c r="I180" s="4" t="s">
        <v>2803</v>
      </c>
      <c r="J180" s="13">
        <v>40716.750902777778</v>
      </c>
      <c r="K180" s="4" t="s">
        <v>3668</v>
      </c>
      <c r="M180" s="4">
        <f>IFERROR(FIND(",",E180),0)</f>
        <v>0</v>
      </c>
      <c r="N180" s="4">
        <f>LEN(E180)</f>
        <v>12</v>
      </c>
    </row>
    <row r="181" spans="1:14" outlineLevel="2" x14ac:dyDescent="0.3">
      <c r="A181" t="s">
        <v>5346</v>
      </c>
      <c r="B181" t="s">
        <v>674</v>
      </c>
      <c r="C181" s="1">
        <v>27150</v>
      </c>
      <c r="D181" t="s">
        <v>1960</v>
      </c>
      <c r="E181" t="s">
        <v>2214</v>
      </c>
      <c r="F181" t="str">
        <f>IF(separador &gt; 0, LEFT(E181,separador - 1), E181)</f>
        <v>N75 9JP</v>
      </c>
      <c r="G181" t="str">
        <f>IF(separador &gt; 0, RIGHT(E181,largo -separador - 1),"-")</f>
        <v>-</v>
      </c>
      <c r="H181" t="s">
        <v>4342</v>
      </c>
      <c r="I181" t="s">
        <v>3350</v>
      </c>
      <c r="J181" s="2">
        <v>42838.912395833337</v>
      </c>
      <c r="K181" t="s">
        <v>3668</v>
      </c>
      <c r="M181">
        <f>IFERROR(FIND(",",E181),0)</f>
        <v>0</v>
      </c>
      <c r="N181">
        <f>LEN(E181)</f>
        <v>7</v>
      </c>
    </row>
    <row r="182" spans="1:14" outlineLevel="2" x14ac:dyDescent="0.3">
      <c r="A182" s="4" t="s">
        <v>5417</v>
      </c>
      <c r="B182" s="4" t="s">
        <v>745</v>
      </c>
      <c r="C182" s="12">
        <v>27144</v>
      </c>
      <c r="D182" s="4" t="s">
        <v>2307</v>
      </c>
      <c r="E182" s="4" t="s">
        <v>2308</v>
      </c>
      <c r="F182" s="4" t="str">
        <f>IF(separador &gt; 0, LEFT(E182,separador - 1), E182)</f>
        <v>515 New Road</v>
      </c>
      <c r="G182" s="4" t="str">
        <f>IF(separador &gt; 0, RIGHT(E182,largo -separador - 1),"-")</f>
        <v>-</v>
      </c>
      <c r="H182" s="4" t="s">
        <v>4413</v>
      </c>
      <c r="I182" s="4" t="s">
        <v>3419</v>
      </c>
      <c r="J182" s="13">
        <v>39747.221747685187</v>
      </c>
      <c r="K182" s="4" t="s">
        <v>3668</v>
      </c>
      <c r="M182" s="4">
        <f>IFERROR(FIND(",",E182),0)</f>
        <v>0</v>
      </c>
      <c r="N182" s="4">
        <f>LEN(E182)</f>
        <v>12</v>
      </c>
    </row>
    <row r="183" spans="1:14" outlineLevel="2" x14ac:dyDescent="0.3">
      <c r="A183" t="s">
        <v>5078</v>
      </c>
      <c r="B183" t="s">
        <v>406</v>
      </c>
      <c r="C183" s="1">
        <v>27057</v>
      </c>
      <c r="D183" t="s">
        <v>1806</v>
      </c>
      <c r="E183" t="s">
        <v>1807</v>
      </c>
      <c r="F183" t="str">
        <f>IF(separador &gt; 0, LEFT(E183,separador - 1), E183)</f>
        <v>419 Sheffield St.</v>
      </c>
      <c r="G183" t="str">
        <f>IF(separador &gt; 0, RIGHT(E183,largo -separador - 1),"-")</f>
        <v>-</v>
      </c>
      <c r="H183" t="s">
        <v>4074</v>
      </c>
      <c r="I183" t="s">
        <v>3088</v>
      </c>
      <c r="J183" s="2">
        <v>41532.947187500002</v>
      </c>
      <c r="K183" t="s">
        <v>3668</v>
      </c>
      <c r="M183">
        <f>IFERROR(FIND(",",E183),0)</f>
        <v>0</v>
      </c>
      <c r="N183">
        <f>LEN(E183)</f>
        <v>17</v>
      </c>
    </row>
    <row r="184" spans="1:14" outlineLevel="2" x14ac:dyDescent="0.3">
      <c r="A184" s="4" t="s">
        <v>5271</v>
      </c>
      <c r="B184" s="4" t="s">
        <v>599</v>
      </c>
      <c r="C184" s="12">
        <v>27056</v>
      </c>
      <c r="D184" s="4" t="s">
        <v>1960</v>
      </c>
      <c r="E184" s="4" t="s">
        <v>2114</v>
      </c>
      <c r="F184" s="4" t="str">
        <f>IF(separador &gt; 0, LEFT(E184,separador - 1), E184)</f>
        <v>N67 8OM</v>
      </c>
      <c r="G184" s="4" t="str">
        <f>IF(separador &gt; 0, RIGHT(E184,largo -separador - 1),"-")</f>
        <v>-</v>
      </c>
      <c r="H184" s="4" t="s">
        <v>4267</v>
      </c>
      <c r="I184" s="4" t="s">
        <v>3277</v>
      </c>
      <c r="J184" s="13">
        <v>39415.045439814814</v>
      </c>
      <c r="K184" s="4" t="s">
        <v>3668</v>
      </c>
      <c r="M184" s="4">
        <f>IFERROR(FIND(",",E184),0)</f>
        <v>0</v>
      </c>
      <c r="N184" s="4">
        <f>LEN(E184)</f>
        <v>7</v>
      </c>
    </row>
    <row r="185" spans="1:14" outlineLevel="2" x14ac:dyDescent="0.3">
      <c r="A185" t="s">
        <v>4817</v>
      </c>
      <c r="B185" t="s">
        <v>145</v>
      </c>
      <c r="C185" s="1">
        <v>27018</v>
      </c>
      <c r="D185" t="s">
        <v>1284</v>
      </c>
      <c r="E185" t="s">
        <v>1285</v>
      </c>
      <c r="F185" t="str">
        <f>IF(separador &gt; 0, LEFT(E185,separador - 1), E185)</f>
        <v>Ontario</v>
      </c>
      <c r="G185" t="str">
        <f>IF(separador &gt; 0, RIGHT(E185,largo -separador - 1),"-")</f>
        <v>CA 91761</v>
      </c>
      <c r="H185" t="s">
        <v>3813</v>
      </c>
      <c r="I185" t="s">
        <v>2831</v>
      </c>
      <c r="J185" s="2">
        <v>43604.014409722222</v>
      </c>
      <c r="K185" t="s">
        <v>3668</v>
      </c>
      <c r="M185">
        <f>IFERROR(FIND(",",E185),0)</f>
        <v>8</v>
      </c>
      <c r="N185">
        <f>LEN(E185)</f>
        <v>17</v>
      </c>
    </row>
    <row r="186" spans="1:14" outlineLevel="2" x14ac:dyDescent="0.3">
      <c r="A186" s="4" t="s">
        <v>5371</v>
      </c>
      <c r="B186" s="4" t="s">
        <v>699</v>
      </c>
      <c r="C186" s="12">
        <v>26922</v>
      </c>
      <c r="D186" s="4" t="s">
        <v>2246</v>
      </c>
      <c r="E186" s="4" t="s">
        <v>1960</v>
      </c>
      <c r="F186" s="4" t="str">
        <f>IF(separador &gt; 0, LEFT(E186,separador - 1), E186)</f>
        <v>London</v>
      </c>
      <c r="G186" s="4" t="str">
        <f>IF(separador &gt; 0, RIGHT(E186,largo -separador - 1),"-")</f>
        <v>-</v>
      </c>
      <c r="H186" s="4" t="s">
        <v>4367</v>
      </c>
      <c r="I186" s="4" t="s">
        <v>3375</v>
      </c>
      <c r="J186" s="13">
        <v>39691.305937500001</v>
      </c>
      <c r="K186" s="4" t="s">
        <v>3668</v>
      </c>
      <c r="M186" s="4">
        <f>IFERROR(FIND(",",E186),0)</f>
        <v>0</v>
      </c>
      <c r="N186" s="4">
        <f>LEN(E186)</f>
        <v>6</v>
      </c>
    </row>
    <row r="187" spans="1:14" outlineLevel="2" x14ac:dyDescent="0.3">
      <c r="A187" t="s">
        <v>4776</v>
      </c>
      <c r="B187" t="s">
        <v>104</v>
      </c>
      <c r="C187" s="1">
        <v>26882</v>
      </c>
      <c r="D187" t="s">
        <v>1202</v>
      </c>
      <c r="E187" t="s">
        <v>1203</v>
      </c>
      <c r="F187" t="str">
        <f>IF(separador &gt; 0, LEFT(E187,separador - 1), E187)</f>
        <v>CH66 8CW</v>
      </c>
      <c r="G187" t="str">
        <f>IF(separador &gt; 0, RIGHT(E187,largo -separador - 1),"-")</f>
        <v>-</v>
      </c>
      <c r="H187" t="s">
        <v>3772</v>
      </c>
      <c r="I187" t="s">
        <v>2790</v>
      </c>
      <c r="J187" s="2">
        <v>39333.156354166669</v>
      </c>
      <c r="K187" t="s">
        <v>3668</v>
      </c>
      <c r="M187">
        <f>IFERROR(FIND(",",E187),0)</f>
        <v>0</v>
      </c>
      <c r="N187">
        <f>LEN(E187)</f>
        <v>8</v>
      </c>
    </row>
    <row r="188" spans="1:14" outlineLevel="2" x14ac:dyDescent="0.3">
      <c r="A188" s="4" t="s">
        <v>4995</v>
      </c>
      <c r="B188" s="4" t="s">
        <v>323</v>
      </c>
      <c r="C188" s="12">
        <v>26761</v>
      </c>
      <c r="D188" s="4" t="s">
        <v>1640</v>
      </c>
      <c r="E188" s="4" t="s">
        <v>1641</v>
      </c>
      <c r="F188" s="4" t="str">
        <f>IF(separador &gt; 0, LEFT(E188,separador - 1), E188)</f>
        <v>209 North Newbridge Drive</v>
      </c>
      <c r="G188" s="4" t="str">
        <f>IF(separador &gt; 0, RIGHT(E188,largo -separador - 1),"-")</f>
        <v>-</v>
      </c>
      <c r="H188" s="4" t="s">
        <v>3991</v>
      </c>
      <c r="I188" s="4" t="s">
        <v>3005</v>
      </c>
      <c r="J188" s="13">
        <v>39980.554618055554</v>
      </c>
      <c r="K188" s="4" t="s">
        <v>3668</v>
      </c>
      <c r="M188" s="4">
        <f>IFERROR(FIND(",",E188),0)</f>
        <v>0</v>
      </c>
      <c r="N188" s="4">
        <f>LEN(E188)</f>
        <v>25</v>
      </c>
    </row>
    <row r="189" spans="1:14" outlineLevel="2" x14ac:dyDescent="0.3">
      <c r="A189" t="s">
        <v>4941</v>
      </c>
      <c r="B189" t="s">
        <v>269</v>
      </c>
      <c r="C189" s="1">
        <v>26676</v>
      </c>
      <c r="D189" t="s">
        <v>1532</v>
      </c>
      <c r="E189" t="s">
        <v>1533</v>
      </c>
      <c r="F189" t="str">
        <f>IF(separador &gt; 0, LEFT(E189,separador - 1), E189)</f>
        <v>9536 Nut Swamp Dr.</v>
      </c>
      <c r="G189" t="str">
        <f>IF(separador &gt; 0, RIGHT(E189,largo -separador - 1),"-")</f>
        <v>-</v>
      </c>
      <c r="H189" t="s">
        <v>3937</v>
      </c>
      <c r="I189" t="s">
        <v>2952</v>
      </c>
      <c r="J189" s="2">
        <v>41378.130613425928</v>
      </c>
      <c r="K189" t="s">
        <v>3668</v>
      </c>
      <c r="M189">
        <f>IFERROR(FIND(",",E189),0)</f>
        <v>0</v>
      </c>
      <c r="N189">
        <f>LEN(E189)</f>
        <v>18</v>
      </c>
    </row>
    <row r="190" spans="1:14" outlineLevel="2" x14ac:dyDescent="0.3">
      <c r="A190" s="4" t="s">
        <v>4814</v>
      </c>
      <c r="B190" s="4" t="s">
        <v>142</v>
      </c>
      <c r="C190" s="12">
        <v>26658</v>
      </c>
      <c r="D190" s="4" t="s">
        <v>1278</v>
      </c>
      <c r="E190" s="4" t="s">
        <v>1279</v>
      </c>
      <c r="F190" s="4" t="str">
        <f>IF(separador &gt; 0, LEFT(E190,separador - 1), E190)</f>
        <v>San Diego</v>
      </c>
      <c r="G190" s="4" t="str">
        <f>IF(separador &gt; 0, RIGHT(E190,largo -separador - 1),"-")</f>
        <v>CA 92117</v>
      </c>
      <c r="H190" s="4" t="s">
        <v>3810</v>
      </c>
      <c r="I190" s="4" t="s">
        <v>2828</v>
      </c>
      <c r="J190" s="13">
        <v>41193.278321759259</v>
      </c>
      <c r="K190" s="4" t="s">
        <v>3668</v>
      </c>
      <c r="M190" s="4">
        <f>IFERROR(FIND(",",E190),0)</f>
        <v>10</v>
      </c>
      <c r="N190" s="4">
        <f>LEN(E190)</f>
        <v>19</v>
      </c>
    </row>
    <row r="191" spans="1:14" outlineLevel="2" x14ac:dyDescent="0.3">
      <c r="A191" t="s">
        <v>4967</v>
      </c>
      <c r="B191" t="s">
        <v>295</v>
      </c>
      <c r="C191" s="1">
        <v>26571</v>
      </c>
      <c r="D191" t="s">
        <v>1584</v>
      </c>
      <c r="E191" t="s">
        <v>1585</v>
      </c>
      <c r="F191" t="str">
        <f>IF(separador &gt; 0, LEFT(E191,separador - 1), E191)</f>
        <v>72 Paris Hill Ave.</v>
      </c>
      <c r="G191" t="str">
        <f>IF(separador &gt; 0, RIGHT(E191,largo -separador - 1),"-")</f>
        <v>-</v>
      </c>
      <c r="H191" t="s">
        <v>3963</v>
      </c>
      <c r="I191" t="s">
        <v>2729</v>
      </c>
      <c r="J191" s="2">
        <v>39049.339155092595</v>
      </c>
      <c r="K191" t="s">
        <v>3668</v>
      </c>
      <c r="M191">
        <f>IFERROR(FIND(",",E191),0)</f>
        <v>0</v>
      </c>
      <c r="N191">
        <f>LEN(E191)</f>
        <v>18</v>
      </c>
    </row>
    <row r="192" spans="1:14" outlineLevel="2" x14ac:dyDescent="0.3">
      <c r="A192" s="4" t="s">
        <v>5276</v>
      </c>
      <c r="B192" s="4" t="s">
        <v>604</v>
      </c>
      <c r="C192" s="12">
        <v>26549</v>
      </c>
      <c r="D192" s="4" t="s">
        <v>2120</v>
      </c>
      <c r="E192" s="4" t="s">
        <v>2121</v>
      </c>
      <c r="F192" s="4" t="str">
        <f>IF(separador &gt; 0, LEFT(E192,separador - 1), E192)</f>
        <v>9482 Richmond Road</v>
      </c>
      <c r="G192" s="4" t="str">
        <f>IF(separador &gt; 0, RIGHT(E192,largo -separador - 1),"-")</f>
        <v>-</v>
      </c>
      <c r="H192" s="4" t="s">
        <v>4272</v>
      </c>
      <c r="I192" s="4" t="s">
        <v>3282</v>
      </c>
      <c r="J192" s="13">
        <v>40300.540405092594</v>
      </c>
      <c r="K192" s="4" t="s">
        <v>3668</v>
      </c>
      <c r="M192" s="4">
        <f>IFERROR(FIND(",",E192),0)</f>
        <v>0</v>
      </c>
      <c r="N192" s="4">
        <f>LEN(E192)</f>
        <v>18</v>
      </c>
    </row>
    <row r="193" spans="1:14" outlineLevel="2" x14ac:dyDescent="0.3">
      <c r="A193" t="s">
        <v>5658</v>
      </c>
      <c r="B193" t="s">
        <v>986</v>
      </c>
      <c r="C193" s="1">
        <v>26530</v>
      </c>
      <c r="D193" t="s">
        <v>2673</v>
      </c>
      <c r="E193" t="s">
        <v>2358</v>
      </c>
      <c r="F193" t="str">
        <f>IF(separador &gt; 0, LEFT(E193,separador - 1), E193)</f>
        <v>Brooklyn</v>
      </c>
      <c r="G193" t="str">
        <f>IF(separador &gt; 0, RIGHT(E193,largo -separador - 1),"-")</f>
        <v>NY 11208</v>
      </c>
      <c r="H193" t="s">
        <v>4654</v>
      </c>
      <c r="I193" t="s">
        <v>3652</v>
      </c>
      <c r="J193" s="2">
        <v>41284.308657407404</v>
      </c>
      <c r="K193" t="s">
        <v>3668</v>
      </c>
      <c r="M193">
        <f>IFERROR(FIND(",",E193),0)</f>
        <v>9</v>
      </c>
      <c r="N193">
        <f>LEN(E193)</f>
        <v>18</v>
      </c>
    </row>
    <row r="194" spans="1:14" outlineLevel="2" x14ac:dyDescent="0.3">
      <c r="A194" s="4" t="s">
        <v>5470</v>
      </c>
      <c r="B194" s="4" t="s">
        <v>798</v>
      </c>
      <c r="C194" s="12">
        <v>26434</v>
      </c>
      <c r="D194" s="4" t="s">
        <v>2398</v>
      </c>
      <c r="E194" s="4" t="s">
        <v>2399</v>
      </c>
      <c r="F194" s="4" t="str">
        <f>IF(separador &gt; 0, LEFT(E194,separador - 1), E194)</f>
        <v>Jackson Heights</v>
      </c>
      <c r="G194" s="4" t="str">
        <f>IF(separador &gt; 0, RIGHT(E194,largo -separador - 1),"-")</f>
        <v>NY 11372</v>
      </c>
      <c r="H194" s="4" t="s">
        <v>4466</v>
      </c>
      <c r="I194" s="4" t="s">
        <v>3469</v>
      </c>
      <c r="J194" s="13">
        <v>40989.721851851849</v>
      </c>
      <c r="K194" s="4" t="s">
        <v>3668</v>
      </c>
      <c r="M194" s="4">
        <f>IFERROR(FIND(",",E194),0)</f>
        <v>16</v>
      </c>
      <c r="N194" s="4">
        <f>LEN(E194)</f>
        <v>25</v>
      </c>
    </row>
    <row r="195" spans="1:14" outlineLevel="2" x14ac:dyDescent="0.3">
      <c r="A195" t="s">
        <v>4877</v>
      </c>
      <c r="B195" t="s">
        <v>205</v>
      </c>
      <c r="C195" s="1">
        <v>26381</v>
      </c>
      <c r="D195" t="s">
        <v>1404</v>
      </c>
      <c r="E195" t="s">
        <v>1405</v>
      </c>
      <c r="F195" t="str">
        <f>IF(separador &gt; 0, LEFT(E195,separador - 1), E195)</f>
        <v>71 Wakehurst Drive</v>
      </c>
      <c r="G195" t="str">
        <f>IF(separador &gt; 0, RIGHT(E195,largo -separador - 1),"-")</f>
        <v>-</v>
      </c>
      <c r="H195" t="s">
        <v>3873</v>
      </c>
      <c r="I195" t="s">
        <v>2889</v>
      </c>
      <c r="J195" s="2">
        <v>41844.772916666669</v>
      </c>
      <c r="K195" t="s">
        <v>3668</v>
      </c>
      <c r="M195">
        <f>IFERROR(FIND(",",E195),0)</f>
        <v>0</v>
      </c>
      <c r="N195">
        <f>LEN(E195)</f>
        <v>18</v>
      </c>
    </row>
    <row r="196" spans="1:14" outlineLevel="2" x14ac:dyDescent="0.3">
      <c r="A196" s="4" t="s">
        <v>5501</v>
      </c>
      <c r="B196" s="4" t="s">
        <v>829</v>
      </c>
      <c r="C196" s="12">
        <v>26340</v>
      </c>
      <c r="D196" s="4" t="s">
        <v>2459</v>
      </c>
      <c r="E196" s="4" t="s">
        <v>2460</v>
      </c>
      <c r="F196" s="4" t="str">
        <f>IF(separador &gt; 0, LEFT(E196,separador - 1), E196)</f>
        <v>Bronx</v>
      </c>
      <c r="G196" s="4" t="str">
        <f>IF(separador &gt; 0, RIGHT(E196,largo -separador - 1),"-")</f>
        <v>NY 10469</v>
      </c>
      <c r="H196" s="4" t="s">
        <v>4497</v>
      </c>
      <c r="I196" s="4" t="s">
        <v>3500</v>
      </c>
      <c r="J196" s="13">
        <v>38687.856296296297</v>
      </c>
      <c r="K196" s="4" t="s">
        <v>3668</v>
      </c>
      <c r="M196" s="4">
        <f>IFERROR(FIND(",",E196),0)</f>
        <v>6</v>
      </c>
      <c r="N196" s="4">
        <f>LEN(E196)</f>
        <v>15</v>
      </c>
    </row>
    <row r="197" spans="1:14" outlineLevel="2" x14ac:dyDescent="0.3">
      <c r="A197" t="s">
        <v>4878</v>
      </c>
      <c r="B197" t="s">
        <v>206</v>
      </c>
      <c r="C197" s="1">
        <v>26305</v>
      </c>
      <c r="D197" t="s">
        <v>1406</v>
      </c>
      <c r="E197" t="s">
        <v>1407</v>
      </c>
      <c r="F197" t="str">
        <f>IF(separador &gt; 0, LEFT(E197,separador - 1), E197)</f>
        <v>715 Redwood Dr.</v>
      </c>
      <c r="G197" t="str">
        <f>IF(separador &gt; 0, RIGHT(E197,largo -separador - 1),"-")</f>
        <v>-</v>
      </c>
      <c r="H197" t="s">
        <v>3874</v>
      </c>
      <c r="I197" t="s">
        <v>2890</v>
      </c>
      <c r="J197" s="2">
        <v>40882.767650462964</v>
      </c>
      <c r="K197" t="s">
        <v>3668</v>
      </c>
      <c r="M197">
        <f>IFERROR(FIND(",",E197),0)</f>
        <v>0</v>
      </c>
      <c r="N197">
        <f>LEN(E197)</f>
        <v>15</v>
      </c>
    </row>
    <row r="198" spans="1:14" outlineLevel="2" x14ac:dyDescent="0.3">
      <c r="A198" s="4" t="s">
        <v>4729</v>
      </c>
      <c r="B198" s="4" t="s">
        <v>57</v>
      </c>
      <c r="C198" s="12">
        <v>26192</v>
      </c>
      <c r="D198" s="4" t="s">
        <v>1108</v>
      </c>
      <c r="E198" s="4" t="s">
        <v>1109</v>
      </c>
      <c r="F198" s="4" t="str">
        <f>IF(separador &gt; 0, LEFT(E198,separador - 1), E198)</f>
        <v>WATFORD</v>
      </c>
      <c r="G198" s="4" t="str">
        <f>IF(separador &gt; 0, RIGHT(E198,largo -separador - 1),"-")</f>
        <v>-</v>
      </c>
      <c r="H198" s="4" t="s">
        <v>3725</v>
      </c>
      <c r="I198" s="4" t="s">
        <v>2743</v>
      </c>
      <c r="J198" s="13">
        <v>42521.074236111112</v>
      </c>
      <c r="K198" s="4" t="s">
        <v>3668</v>
      </c>
      <c r="M198" s="4">
        <f>IFERROR(FIND(",",E198),0)</f>
        <v>0</v>
      </c>
      <c r="N198" s="4">
        <f>LEN(E198)</f>
        <v>7</v>
      </c>
    </row>
    <row r="199" spans="1:14" outlineLevel="2" x14ac:dyDescent="0.3">
      <c r="A199" t="s">
        <v>5030</v>
      </c>
      <c r="B199" t="s">
        <v>358</v>
      </c>
      <c r="C199" s="1">
        <v>26103</v>
      </c>
      <c r="D199" t="s">
        <v>1710</v>
      </c>
      <c r="E199" t="s">
        <v>1711</v>
      </c>
      <c r="F199" t="str">
        <f>IF(separador &gt; 0, LEFT(E199,separador - 1), E199)</f>
        <v>969 Summerhouse Dr.</v>
      </c>
      <c r="G199" t="str">
        <f>IF(separador &gt; 0, RIGHT(E199,largo -separador - 1),"-")</f>
        <v>-</v>
      </c>
      <c r="H199" t="s">
        <v>4026</v>
      </c>
      <c r="I199" t="s">
        <v>3040</v>
      </c>
      <c r="J199" s="2">
        <v>43032.485185185185</v>
      </c>
      <c r="K199" t="s">
        <v>3668</v>
      </c>
      <c r="M199">
        <f>IFERROR(FIND(",",E199),0)</f>
        <v>0</v>
      </c>
      <c r="N199">
        <f>LEN(E199)</f>
        <v>19</v>
      </c>
    </row>
    <row r="200" spans="1:14" outlineLevel="2" x14ac:dyDescent="0.3">
      <c r="A200" s="4" t="s">
        <v>5653</v>
      </c>
      <c r="B200" s="4" t="s">
        <v>981</v>
      </c>
      <c r="C200" s="12">
        <v>26076</v>
      </c>
      <c r="D200" s="4" t="s">
        <v>2668</v>
      </c>
      <c r="E200" s="4" t="s">
        <v>2397</v>
      </c>
      <c r="F200" s="4" t="str">
        <f>IF(separador &gt; 0, LEFT(E200,separador - 1), E200)</f>
        <v>Fresh Meadows</v>
      </c>
      <c r="G200" s="4" t="str">
        <f>IF(separador &gt; 0, RIGHT(E200,largo -separador - 1),"-")</f>
        <v>NY 11365</v>
      </c>
      <c r="H200" s="4" t="s">
        <v>4649</v>
      </c>
      <c r="I200" s="4" t="s">
        <v>3647</v>
      </c>
      <c r="J200" s="13">
        <v>40968.121307870373</v>
      </c>
      <c r="K200" s="4" t="s">
        <v>3668</v>
      </c>
      <c r="M200" s="4">
        <f>IFERROR(FIND(",",E200),0)</f>
        <v>14</v>
      </c>
      <c r="N200" s="4">
        <f>LEN(E200)</f>
        <v>23</v>
      </c>
    </row>
    <row r="201" spans="1:14" outlineLevel="2" x14ac:dyDescent="0.3">
      <c r="A201" t="s">
        <v>5593</v>
      </c>
      <c r="B201" t="s">
        <v>921</v>
      </c>
      <c r="C201" s="1">
        <v>25995</v>
      </c>
      <c r="D201" t="s">
        <v>2608</v>
      </c>
      <c r="E201" t="s">
        <v>2510</v>
      </c>
      <c r="F201" t="str">
        <f>IF(separador &gt; 0, LEFT(E201,separador - 1), E201)</f>
        <v>Bronx</v>
      </c>
      <c r="G201" t="str">
        <f>IF(separador &gt; 0, RIGHT(E201,largo -separador - 1),"-")</f>
        <v>NY 10460</v>
      </c>
      <c r="H201" t="s">
        <v>4589</v>
      </c>
      <c r="I201" t="s">
        <v>3590</v>
      </c>
      <c r="J201" s="2">
        <v>42059.845659722225</v>
      </c>
      <c r="K201" t="s">
        <v>3668</v>
      </c>
      <c r="M201">
        <f>IFERROR(FIND(",",E201),0)</f>
        <v>6</v>
      </c>
      <c r="N201">
        <f>LEN(E201)</f>
        <v>15</v>
      </c>
    </row>
    <row r="202" spans="1:14" outlineLevel="2" x14ac:dyDescent="0.3">
      <c r="A202" s="4" t="s">
        <v>4762</v>
      </c>
      <c r="B202" s="4" t="s">
        <v>90</v>
      </c>
      <c r="C202" s="12">
        <v>25991</v>
      </c>
      <c r="D202" s="4" t="s">
        <v>1174</v>
      </c>
      <c r="E202" s="4" t="s">
        <v>1175</v>
      </c>
      <c r="F202" s="4" t="str">
        <f>IF(separador &gt; 0, LEFT(E202,separador - 1), E202)</f>
        <v>PERTH</v>
      </c>
      <c r="G202" s="4" t="str">
        <f>IF(separador &gt; 0, RIGHT(E202,largo -separador - 1),"-")</f>
        <v>-</v>
      </c>
      <c r="H202" s="4" t="s">
        <v>3758</v>
      </c>
      <c r="I202" s="4" t="s">
        <v>2776</v>
      </c>
      <c r="J202" s="13">
        <v>41851.90388888889</v>
      </c>
      <c r="K202" s="4" t="s">
        <v>3668</v>
      </c>
      <c r="M202" s="4">
        <f>IFERROR(FIND(",",E202),0)</f>
        <v>0</v>
      </c>
      <c r="N202" s="4">
        <f>LEN(E202)</f>
        <v>5</v>
      </c>
    </row>
    <row r="203" spans="1:14" outlineLevel="2" x14ac:dyDescent="0.3">
      <c r="A203" t="s">
        <v>5308</v>
      </c>
      <c r="B203" t="s">
        <v>636</v>
      </c>
      <c r="C203" s="1">
        <v>25910</v>
      </c>
      <c r="D203" t="s">
        <v>2163</v>
      </c>
      <c r="E203" t="s">
        <v>1960</v>
      </c>
      <c r="F203" t="str">
        <f>IF(separador &gt; 0, LEFT(E203,separador - 1), E203)</f>
        <v>London</v>
      </c>
      <c r="G203" t="str">
        <f>IF(separador &gt; 0, RIGHT(E203,largo -separador - 1),"-")</f>
        <v>-</v>
      </c>
      <c r="H203" t="s">
        <v>4304</v>
      </c>
      <c r="I203" t="s">
        <v>3313</v>
      </c>
      <c r="J203" s="2">
        <v>44109.427407407406</v>
      </c>
      <c r="K203" t="s">
        <v>3668</v>
      </c>
      <c r="M203">
        <f>IFERROR(FIND(",",E203),0)</f>
        <v>0</v>
      </c>
      <c r="N203">
        <f>LEN(E203)</f>
        <v>6</v>
      </c>
    </row>
    <row r="204" spans="1:14" outlineLevel="2" x14ac:dyDescent="0.3">
      <c r="A204" s="4" t="s">
        <v>4879</v>
      </c>
      <c r="B204" s="4" t="s">
        <v>207</v>
      </c>
      <c r="C204" s="12">
        <v>25871</v>
      </c>
      <c r="D204" s="4" t="s">
        <v>1408</v>
      </c>
      <c r="E204" s="4" t="s">
        <v>1409</v>
      </c>
      <c r="F204" s="4" t="str">
        <f>IF(separador &gt; 0, LEFT(E204,separador - 1), E204)</f>
        <v>316 Ohio St.</v>
      </c>
      <c r="G204" s="4" t="str">
        <f>IF(separador &gt; 0, RIGHT(E204,largo -separador - 1),"-")</f>
        <v>-</v>
      </c>
      <c r="H204" s="4" t="s">
        <v>3875</v>
      </c>
      <c r="I204" s="4" t="s">
        <v>2891</v>
      </c>
      <c r="J204" s="13">
        <v>41479.135949074072</v>
      </c>
      <c r="K204" s="4" t="s">
        <v>3668</v>
      </c>
      <c r="M204" s="4">
        <f>IFERROR(FIND(",",E204),0)</f>
        <v>0</v>
      </c>
      <c r="N204" s="4">
        <f>LEN(E204)</f>
        <v>12</v>
      </c>
    </row>
    <row r="205" spans="1:14" outlineLevel="2" x14ac:dyDescent="0.3">
      <c r="A205" t="s">
        <v>4769</v>
      </c>
      <c r="B205" t="s">
        <v>97</v>
      </c>
      <c r="C205" s="1">
        <v>25821</v>
      </c>
      <c r="D205" t="s">
        <v>1188</v>
      </c>
      <c r="E205" t="s">
        <v>1189</v>
      </c>
      <c r="F205" t="str">
        <f>IF(separador &gt; 0, LEFT(E205,separador - 1), E205)</f>
        <v>55 Queens Road</v>
      </c>
      <c r="G205" t="str">
        <f>IF(separador &gt; 0, RIGHT(E205,largo -separador - 1),"-")</f>
        <v>-</v>
      </c>
      <c r="H205" t="s">
        <v>3765</v>
      </c>
      <c r="I205" t="s">
        <v>2783</v>
      </c>
      <c r="J205" s="2">
        <v>39039.910115740742</v>
      </c>
      <c r="K205" t="s">
        <v>3668</v>
      </c>
      <c r="M205">
        <f>IFERROR(FIND(",",E205),0)</f>
        <v>0</v>
      </c>
      <c r="N205">
        <f>LEN(E205)</f>
        <v>14</v>
      </c>
    </row>
    <row r="206" spans="1:14" outlineLevel="2" x14ac:dyDescent="0.3">
      <c r="A206" s="4" t="s">
        <v>5541</v>
      </c>
      <c r="B206" s="4" t="s">
        <v>869</v>
      </c>
      <c r="C206" s="12">
        <v>25809</v>
      </c>
      <c r="D206" s="4" t="s">
        <v>2539</v>
      </c>
      <c r="E206" s="4" t="s">
        <v>2540</v>
      </c>
      <c r="F206" s="4" t="str">
        <f>IF(separador &gt; 0, LEFT(E206,separador - 1), E206)</f>
        <v>Brooklyn</v>
      </c>
      <c r="G206" s="4" t="str">
        <f>IF(separador &gt; 0, RIGHT(E206,largo -separador - 1),"-")</f>
        <v>NY 11216</v>
      </c>
      <c r="H206" s="4" t="s">
        <v>4537</v>
      </c>
      <c r="I206" s="4" t="s">
        <v>3539</v>
      </c>
      <c r="J206" s="13">
        <v>43436.830555555556</v>
      </c>
      <c r="K206" s="4" t="s">
        <v>3668</v>
      </c>
      <c r="M206" s="4">
        <f>IFERROR(FIND(",",E206),0)</f>
        <v>9</v>
      </c>
      <c r="N206" s="4">
        <f>LEN(E206)</f>
        <v>18</v>
      </c>
    </row>
    <row r="207" spans="1:14" outlineLevel="2" x14ac:dyDescent="0.3">
      <c r="A207" t="s">
        <v>4935</v>
      </c>
      <c r="B207" t="s">
        <v>263</v>
      </c>
      <c r="C207" s="1">
        <v>25745</v>
      </c>
      <c r="D207" t="s">
        <v>1520</v>
      </c>
      <c r="E207" t="s">
        <v>1521</v>
      </c>
      <c r="F207" t="str">
        <f>IF(separador &gt; 0, LEFT(E207,separador - 1), E207)</f>
        <v>8850 Pulaski Dr.</v>
      </c>
      <c r="G207" t="str">
        <f>IF(separador &gt; 0, RIGHT(E207,largo -separador - 1),"-")</f>
        <v>-</v>
      </c>
      <c r="H207" t="s">
        <v>3931</v>
      </c>
      <c r="I207" t="s">
        <v>2946</v>
      </c>
      <c r="J207" s="2">
        <v>43916.961296296293</v>
      </c>
      <c r="K207" t="s">
        <v>3668</v>
      </c>
      <c r="M207">
        <f>IFERROR(FIND(",",E207),0)</f>
        <v>0</v>
      </c>
      <c r="N207">
        <f>LEN(E207)</f>
        <v>16</v>
      </c>
    </row>
    <row r="208" spans="1:14" outlineLevel="2" x14ac:dyDescent="0.3">
      <c r="A208" s="4" t="s">
        <v>4959</v>
      </c>
      <c r="B208" s="4" t="s">
        <v>287</v>
      </c>
      <c r="C208" s="12">
        <v>25678</v>
      </c>
      <c r="D208" s="4" t="s">
        <v>1568</v>
      </c>
      <c r="E208" s="4" t="s">
        <v>1569</v>
      </c>
      <c r="F208" s="4" t="str">
        <f>IF(separador &gt; 0, LEFT(E208,separador - 1), E208)</f>
        <v>9286 E. Bayberry Street</v>
      </c>
      <c r="G208" s="4" t="str">
        <f>IF(separador &gt; 0, RIGHT(E208,largo -separador - 1),"-")</f>
        <v>-</v>
      </c>
      <c r="H208" s="4" t="s">
        <v>3955</v>
      </c>
      <c r="I208" s="4" t="s">
        <v>2970</v>
      </c>
      <c r="J208" s="13">
        <v>40885.832106481481</v>
      </c>
      <c r="K208" s="4" t="s">
        <v>3668</v>
      </c>
      <c r="M208" s="4">
        <f>IFERROR(FIND(",",E208),0)</f>
        <v>0</v>
      </c>
      <c r="N208" s="4">
        <f>LEN(E208)</f>
        <v>23</v>
      </c>
    </row>
    <row r="209" spans="1:14" outlineLevel="2" x14ac:dyDescent="0.3">
      <c r="A209" t="s">
        <v>5563</v>
      </c>
      <c r="B209" t="s">
        <v>891</v>
      </c>
      <c r="C209" s="1">
        <v>25630</v>
      </c>
      <c r="D209" t="s">
        <v>2578</v>
      </c>
      <c r="E209" t="s">
        <v>2372</v>
      </c>
      <c r="F209" t="str">
        <f>IF(separador &gt; 0, LEFT(E209,separador - 1), E209)</f>
        <v>Brooklyn</v>
      </c>
      <c r="G209" t="str">
        <f>IF(separador &gt; 0, RIGHT(E209,largo -separador - 1),"-")</f>
        <v>NY 11236</v>
      </c>
      <c r="H209" t="s">
        <v>4559</v>
      </c>
      <c r="I209" t="s">
        <v>3561</v>
      </c>
      <c r="J209" s="2">
        <v>42547.003391203703</v>
      </c>
      <c r="K209" t="s">
        <v>3668</v>
      </c>
      <c r="M209">
        <f>IFERROR(FIND(",",E209),0)</f>
        <v>9</v>
      </c>
      <c r="N209">
        <f>LEN(E209)</f>
        <v>18</v>
      </c>
    </row>
    <row r="210" spans="1:14" outlineLevel="1" x14ac:dyDescent="0.3">
      <c r="J210" s="3" t="s">
        <v>5676</v>
      </c>
      <c r="K210">
        <f>SUBTOTAL(3,K2:K209)</f>
        <v>208</v>
      </c>
    </row>
    <row r="211" spans="1:14" outlineLevel="2" x14ac:dyDescent="0.3">
      <c r="A211" s="4" t="s">
        <v>5161</v>
      </c>
      <c r="B211" s="4" t="s">
        <v>489</v>
      </c>
      <c r="C211" s="12">
        <v>36648</v>
      </c>
      <c r="D211" s="4" t="s">
        <v>1968</v>
      </c>
      <c r="E211" s="4" t="s">
        <v>1960</v>
      </c>
      <c r="F211" s="4" t="str">
        <f>IF(separador &gt; 0, LEFT(E211,separador - 1), E211)</f>
        <v>London</v>
      </c>
      <c r="G211" s="4" t="str">
        <f>IF(separador &gt; 0, RIGHT(E211,largo -separador - 1),"-")</f>
        <v>-</v>
      </c>
      <c r="H211" s="4" t="s">
        <v>4157</v>
      </c>
      <c r="I211" s="4" t="s">
        <v>3169</v>
      </c>
      <c r="J211" s="13">
        <v>40866.096319444441</v>
      </c>
      <c r="K211" s="4" t="s">
        <v>3669</v>
      </c>
      <c r="M211" s="4">
        <f>IFERROR(FIND(",",E211),0)</f>
        <v>0</v>
      </c>
      <c r="N211" s="4">
        <f>LEN(E211)</f>
        <v>6</v>
      </c>
    </row>
    <row r="212" spans="1:14" outlineLevel="2" x14ac:dyDescent="0.3">
      <c r="A212" t="s">
        <v>5594</v>
      </c>
      <c r="B212" t="s">
        <v>922</v>
      </c>
      <c r="C212" s="1">
        <v>36581</v>
      </c>
      <c r="D212" t="s">
        <v>2609</v>
      </c>
      <c r="E212" t="s">
        <v>2568</v>
      </c>
      <c r="F212" t="str">
        <f>IF(separador &gt; 0, LEFT(E212,separador - 1), E212)</f>
        <v>Buffalo</v>
      </c>
      <c r="G212" t="str">
        <f>IF(separador &gt; 0, RIGHT(E212,largo -separador - 1),"-")</f>
        <v>NY 14215</v>
      </c>
      <c r="H212" t="s">
        <v>4590</v>
      </c>
      <c r="I212" t="s">
        <v>3591</v>
      </c>
      <c r="J212" s="2">
        <v>38785.635682870372</v>
      </c>
      <c r="K212" t="s">
        <v>3669</v>
      </c>
      <c r="M212">
        <f>IFERROR(FIND(",",E212),0)</f>
        <v>8</v>
      </c>
      <c r="N212">
        <f>LEN(E212)</f>
        <v>17</v>
      </c>
    </row>
    <row r="213" spans="1:14" outlineLevel="2" x14ac:dyDescent="0.3">
      <c r="A213" s="4" t="s">
        <v>5055</v>
      </c>
      <c r="B213" s="4" t="s">
        <v>383</v>
      </c>
      <c r="C213" s="12">
        <v>36524</v>
      </c>
      <c r="D213" s="4" t="s">
        <v>1760</v>
      </c>
      <c r="E213" s="4" t="s">
        <v>1761</v>
      </c>
      <c r="F213" s="4" t="str">
        <f>IF(separador &gt; 0, LEFT(E213,separador - 1), E213)</f>
        <v>7600 Campfire Street</v>
      </c>
      <c r="G213" s="4" t="str">
        <f>IF(separador &gt; 0, RIGHT(E213,largo -separador - 1),"-")</f>
        <v>-</v>
      </c>
      <c r="H213" s="4" t="s">
        <v>4051</v>
      </c>
      <c r="I213" s="4" t="s">
        <v>3065</v>
      </c>
      <c r="J213" s="13">
        <v>39329.851770833331</v>
      </c>
      <c r="K213" s="4" t="s">
        <v>3669</v>
      </c>
      <c r="M213" s="4">
        <f>IFERROR(FIND(",",E213),0)</f>
        <v>0</v>
      </c>
      <c r="N213" s="4">
        <f>LEN(E213)</f>
        <v>20</v>
      </c>
    </row>
    <row r="214" spans="1:14" outlineLevel="2" x14ac:dyDescent="0.3">
      <c r="A214" t="s">
        <v>5478</v>
      </c>
      <c r="B214" t="s">
        <v>806</v>
      </c>
      <c r="C214" s="1">
        <v>36517</v>
      </c>
      <c r="D214" t="s">
        <v>2414</v>
      </c>
      <c r="E214" t="s">
        <v>2415</v>
      </c>
      <c r="F214" t="str">
        <f>IF(separador &gt; 0, LEFT(E214,separador - 1), E214)</f>
        <v>Massapequa</v>
      </c>
      <c r="G214" t="str">
        <f>IF(separador &gt; 0, RIGHT(E214,largo -separador - 1),"-")</f>
        <v>NY 11758</v>
      </c>
      <c r="H214" t="s">
        <v>4474</v>
      </c>
      <c r="I214" t="s">
        <v>3477</v>
      </c>
      <c r="J214" s="2">
        <v>40591.263379629629</v>
      </c>
      <c r="K214" t="s">
        <v>3669</v>
      </c>
      <c r="M214">
        <f>IFERROR(FIND(",",E214),0)</f>
        <v>11</v>
      </c>
      <c r="N214">
        <f>LEN(E214)</f>
        <v>20</v>
      </c>
    </row>
    <row r="215" spans="1:14" outlineLevel="2" x14ac:dyDescent="0.3">
      <c r="A215" s="4" t="s">
        <v>4979</v>
      </c>
      <c r="B215" s="4" t="s">
        <v>307</v>
      </c>
      <c r="C215" s="12">
        <v>36503</v>
      </c>
      <c r="D215" s="4" t="s">
        <v>1608</v>
      </c>
      <c r="E215" s="4" t="s">
        <v>1609</v>
      </c>
      <c r="F215" s="4" t="str">
        <f>IF(separador &gt; 0, LEFT(E215,separador - 1), E215)</f>
        <v>59 W. Anderson Lane</v>
      </c>
      <c r="G215" s="4" t="str">
        <f>IF(separador &gt; 0, RIGHT(E215,largo -separador - 1),"-")</f>
        <v>-</v>
      </c>
      <c r="H215" s="4" t="s">
        <v>3975</v>
      </c>
      <c r="I215" s="4" t="s">
        <v>2989</v>
      </c>
      <c r="J215" s="13">
        <v>40804.109965277778</v>
      </c>
      <c r="K215" s="4" t="s">
        <v>3669</v>
      </c>
      <c r="M215" s="4">
        <f>IFERROR(FIND(",",E215),0)</f>
        <v>0</v>
      </c>
      <c r="N215" s="4">
        <f>LEN(E215)</f>
        <v>19</v>
      </c>
    </row>
    <row r="216" spans="1:14" outlineLevel="2" x14ac:dyDescent="0.3">
      <c r="A216" t="s">
        <v>5252</v>
      </c>
      <c r="B216" t="s">
        <v>580</v>
      </c>
      <c r="C216" s="1">
        <v>36445</v>
      </c>
      <c r="D216" t="s">
        <v>2088</v>
      </c>
      <c r="E216" t="s">
        <v>2089</v>
      </c>
      <c r="F216" t="str">
        <f>IF(separador &gt; 0, LEFT(E216,separador - 1), E216)</f>
        <v>36 Albert Road</v>
      </c>
      <c r="G216" t="str">
        <f>IF(separador &gt; 0, RIGHT(E216,largo -separador - 1),"-")</f>
        <v>-</v>
      </c>
      <c r="H216" t="s">
        <v>4248</v>
      </c>
      <c r="I216" t="s">
        <v>3258</v>
      </c>
      <c r="J216" s="2">
        <v>38656.982048611113</v>
      </c>
      <c r="K216" t="s">
        <v>3669</v>
      </c>
      <c r="M216">
        <f>IFERROR(FIND(",",E216),0)</f>
        <v>0</v>
      </c>
      <c r="N216">
        <f>LEN(E216)</f>
        <v>14</v>
      </c>
    </row>
    <row r="217" spans="1:14" outlineLevel="2" x14ac:dyDescent="0.3">
      <c r="A217" s="4" t="s">
        <v>5399</v>
      </c>
      <c r="B217" s="4" t="s">
        <v>727</v>
      </c>
      <c r="C217" s="12">
        <v>36410</v>
      </c>
      <c r="D217" s="4" t="s">
        <v>2283</v>
      </c>
      <c r="E217" s="4" t="s">
        <v>2284</v>
      </c>
      <c r="F217" s="4" t="str">
        <f>IF(separador &gt; 0, LEFT(E217,separador - 1), E217)</f>
        <v>5 High Street</v>
      </c>
      <c r="G217" s="4" t="str">
        <f>IF(separador &gt; 0, RIGHT(E217,largo -separador - 1),"-")</f>
        <v>-</v>
      </c>
      <c r="H217" s="4" t="s">
        <v>4395</v>
      </c>
      <c r="I217" s="4" t="s">
        <v>3402</v>
      </c>
      <c r="J217" s="13">
        <v>41398.976076388892</v>
      </c>
      <c r="K217" s="4" t="s">
        <v>3669</v>
      </c>
      <c r="M217" s="4">
        <f>IFERROR(FIND(",",E217),0)</f>
        <v>0</v>
      </c>
      <c r="N217" s="4">
        <f>LEN(E217)</f>
        <v>13</v>
      </c>
    </row>
    <row r="218" spans="1:14" outlineLevel="2" x14ac:dyDescent="0.3">
      <c r="A218" t="s">
        <v>5458</v>
      </c>
      <c r="B218" t="s">
        <v>786</v>
      </c>
      <c r="C218" s="1">
        <v>36307</v>
      </c>
      <c r="D218" t="s">
        <v>2375</v>
      </c>
      <c r="E218" t="s">
        <v>2376</v>
      </c>
      <c r="F218" t="str">
        <f>IF(separador &gt; 0, LEFT(E218,separador - 1), E218)</f>
        <v>Brooklyn</v>
      </c>
      <c r="G218" t="str">
        <f>IF(separador &gt; 0, RIGHT(E218,largo -separador - 1),"-")</f>
        <v>NY 11204</v>
      </c>
      <c r="H218" t="s">
        <v>4454</v>
      </c>
      <c r="I218" t="s">
        <v>3457</v>
      </c>
      <c r="J218" s="2">
        <v>42010.661712962959</v>
      </c>
      <c r="K218" t="s">
        <v>3669</v>
      </c>
      <c r="M218">
        <f>IFERROR(FIND(",",E218),0)</f>
        <v>9</v>
      </c>
      <c r="N218">
        <f>LEN(E218)</f>
        <v>18</v>
      </c>
    </row>
    <row r="219" spans="1:14" outlineLevel="2" x14ac:dyDescent="0.3">
      <c r="A219" s="4" t="s">
        <v>5410</v>
      </c>
      <c r="B219" s="4" t="s">
        <v>738</v>
      </c>
      <c r="C219" s="12">
        <v>36269</v>
      </c>
      <c r="D219" s="4" t="s">
        <v>2298</v>
      </c>
      <c r="E219" s="4" t="s">
        <v>1960</v>
      </c>
      <c r="F219" s="4" t="str">
        <f>IF(separador &gt; 0, LEFT(E219,separador - 1), E219)</f>
        <v>London</v>
      </c>
      <c r="G219" s="4" t="str">
        <f>IF(separador &gt; 0, RIGHT(E219,largo -separador - 1),"-")</f>
        <v>-</v>
      </c>
      <c r="H219" s="4" t="s">
        <v>4406</v>
      </c>
      <c r="I219" s="4" t="s">
        <v>3413</v>
      </c>
      <c r="J219" s="13">
        <v>38668.449884259258</v>
      </c>
      <c r="K219" s="4" t="s">
        <v>3669</v>
      </c>
      <c r="M219" s="4">
        <f>IFERROR(FIND(",",E219),0)</f>
        <v>0</v>
      </c>
      <c r="N219" s="4">
        <f>LEN(E219)</f>
        <v>6</v>
      </c>
    </row>
    <row r="220" spans="1:14" outlineLevel="2" x14ac:dyDescent="0.3">
      <c r="A220" t="s">
        <v>4913</v>
      </c>
      <c r="B220" t="s">
        <v>241</v>
      </c>
      <c r="C220" s="1">
        <v>36253</v>
      </c>
      <c r="D220" t="s">
        <v>1476</v>
      </c>
      <c r="E220" t="s">
        <v>1477</v>
      </c>
      <c r="F220" t="str">
        <f>IF(separador &gt; 0, LEFT(E220,separador - 1), E220)</f>
        <v>22 Fieldstone Dr.</v>
      </c>
      <c r="G220" t="str">
        <f>IF(separador &gt; 0, RIGHT(E220,largo -separador - 1),"-")</f>
        <v>-</v>
      </c>
      <c r="H220" t="s">
        <v>3909</v>
      </c>
      <c r="I220" t="s">
        <v>2924</v>
      </c>
      <c r="J220" s="2">
        <v>41516.556875000002</v>
      </c>
      <c r="K220" t="s">
        <v>3669</v>
      </c>
      <c r="M220">
        <f>IFERROR(FIND(",",E220),0)</f>
        <v>0</v>
      </c>
      <c r="N220">
        <f>LEN(E220)</f>
        <v>17</v>
      </c>
    </row>
    <row r="221" spans="1:14" outlineLevel="2" x14ac:dyDescent="0.3">
      <c r="A221" s="4" t="s">
        <v>5008</v>
      </c>
      <c r="B221" s="4" t="s">
        <v>336</v>
      </c>
      <c r="C221" s="12">
        <v>36142</v>
      </c>
      <c r="D221" s="4" t="s">
        <v>1666</v>
      </c>
      <c r="E221" s="4" t="s">
        <v>1667</v>
      </c>
      <c r="F221" s="4" t="str">
        <f>IF(separador &gt; 0, LEFT(E221,separador - 1), E221)</f>
        <v>19 Charles St.</v>
      </c>
      <c r="G221" s="4" t="str">
        <f>IF(separador &gt; 0, RIGHT(E221,largo -separador - 1),"-")</f>
        <v>-</v>
      </c>
      <c r="H221" s="4" t="s">
        <v>4004</v>
      </c>
      <c r="I221" s="4" t="s">
        <v>3018</v>
      </c>
      <c r="J221" s="13">
        <v>41792.794606481482</v>
      </c>
      <c r="K221" s="4" t="s">
        <v>3669</v>
      </c>
      <c r="M221" s="4">
        <f>IFERROR(FIND(",",E221),0)</f>
        <v>0</v>
      </c>
      <c r="N221" s="4">
        <f>LEN(E221)</f>
        <v>14</v>
      </c>
    </row>
    <row r="222" spans="1:14" outlineLevel="2" x14ac:dyDescent="0.3">
      <c r="A222" t="s">
        <v>5292</v>
      </c>
      <c r="B222" t="s">
        <v>620</v>
      </c>
      <c r="C222" s="1">
        <v>36126</v>
      </c>
      <c r="D222" t="s">
        <v>1960</v>
      </c>
      <c r="E222" t="s">
        <v>2142</v>
      </c>
      <c r="F222" t="str">
        <f>IF(separador &gt; 0, LEFT(E222,separador - 1), E222)</f>
        <v>N12 9TU</v>
      </c>
      <c r="G222" t="str">
        <f>IF(separador &gt; 0, RIGHT(E222,largo -separador - 1),"-")</f>
        <v>-</v>
      </c>
      <c r="H222" t="s">
        <v>4288</v>
      </c>
      <c r="I222" t="s">
        <v>3298</v>
      </c>
      <c r="J222" s="2">
        <v>43819.191817129627</v>
      </c>
      <c r="K222" t="s">
        <v>3669</v>
      </c>
      <c r="M222">
        <f>IFERROR(FIND(",",E222),0)</f>
        <v>0</v>
      </c>
      <c r="N222">
        <f>LEN(E222)</f>
        <v>7</v>
      </c>
    </row>
    <row r="223" spans="1:14" outlineLevel="2" x14ac:dyDescent="0.3">
      <c r="A223" s="4" t="s">
        <v>5535</v>
      </c>
      <c r="B223" s="4" t="s">
        <v>863</v>
      </c>
      <c r="C223" s="12">
        <v>35983</v>
      </c>
      <c r="D223" s="4" t="s">
        <v>2527</v>
      </c>
      <c r="E223" s="4" t="s">
        <v>2528</v>
      </c>
      <c r="F223" s="4" t="str">
        <f>IF(separador &gt; 0, LEFT(E223,separador - 1), E223)</f>
        <v>Bronx</v>
      </c>
      <c r="G223" s="4" t="str">
        <f>IF(separador &gt; 0, RIGHT(E223,largo -separador - 1),"-")</f>
        <v>NY 10468</v>
      </c>
      <c r="H223" s="4" t="s">
        <v>4531</v>
      </c>
      <c r="I223" s="4" t="s">
        <v>3533</v>
      </c>
      <c r="J223" s="13">
        <v>38554.107708333337</v>
      </c>
      <c r="K223" s="4" t="s">
        <v>3669</v>
      </c>
      <c r="M223" s="4">
        <f>IFERROR(FIND(",",E223),0)</f>
        <v>6</v>
      </c>
      <c r="N223" s="4">
        <f>LEN(E223)</f>
        <v>15</v>
      </c>
    </row>
    <row r="224" spans="1:14" outlineLevel="2" x14ac:dyDescent="0.3">
      <c r="A224" t="s">
        <v>5429</v>
      </c>
      <c r="B224" t="s">
        <v>757</v>
      </c>
      <c r="C224" s="1">
        <v>35955</v>
      </c>
      <c r="D224" t="s">
        <v>2323</v>
      </c>
      <c r="E224" t="s">
        <v>2324</v>
      </c>
      <c r="F224" t="str">
        <f>IF(separador &gt; 0, LEFT(E224,separador - 1), E224)</f>
        <v>561 Albert Road</v>
      </c>
      <c r="G224" t="str">
        <f>IF(separador &gt; 0, RIGHT(E224,largo -separador - 1),"-")</f>
        <v>-</v>
      </c>
      <c r="H224" t="s">
        <v>4425</v>
      </c>
      <c r="I224" t="s">
        <v>3430</v>
      </c>
      <c r="J224" s="2">
        <v>41057.017361111109</v>
      </c>
      <c r="K224" t="s">
        <v>3669</v>
      </c>
      <c r="M224">
        <f>IFERROR(FIND(",",E224),0)</f>
        <v>0</v>
      </c>
      <c r="N224">
        <f>LEN(E224)</f>
        <v>15</v>
      </c>
    </row>
    <row r="225" spans="1:14" outlineLevel="2" x14ac:dyDescent="0.3">
      <c r="A225" s="4" t="s">
        <v>5299</v>
      </c>
      <c r="B225" s="4" t="s">
        <v>627</v>
      </c>
      <c r="C225" s="12">
        <v>35951</v>
      </c>
      <c r="D225" s="4" t="s">
        <v>2151</v>
      </c>
      <c r="E225" s="4" t="s">
        <v>1960</v>
      </c>
      <c r="F225" s="4" t="str">
        <f>IF(separador &gt; 0, LEFT(E225,separador - 1), E225)</f>
        <v>London</v>
      </c>
      <c r="G225" s="4" t="str">
        <f>IF(separador &gt; 0, RIGHT(E225,largo -separador - 1),"-")</f>
        <v>-</v>
      </c>
      <c r="H225" s="4" t="s">
        <v>4295</v>
      </c>
      <c r="I225" s="4" t="s">
        <v>3304</v>
      </c>
      <c r="J225" s="13">
        <v>38484.89880787037</v>
      </c>
      <c r="K225" s="4" t="s">
        <v>3669</v>
      </c>
      <c r="M225" s="4">
        <f>IFERROR(FIND(",",E225),0)</f>
        <v>0</v>
      </c>
      <c r="N225" s="4">
        <f>LEN(E225)</f>
        <v>6</v>
      </c>
    </row>
    <row r="226" spans="1:14" outlineLevel="2" x14ac:dyDescent="0.3">
      <c r="A226" t="s">
        <v>5570</v>
      </c>
      <c r="B226" t="s">
        <v>898</v>
      </c>
      <c r="C226" s="1">
        <v>35949</v>
      </c>
      <c r="D226" t="s">
        <v>2585</v>
      </c>
      <c r="E226" t="s">
        <v>2415</v>
      </c>
      <c r="F226" t="str">
        <f>IF(separador &gt; 0, LEFT(E226,separador - 1), E226)</f>
        <v>Massapequa</v>
      </c>
      <c r="G226" t="str">
        <f>IF(separador &gt; 0, RIGHT(E226,largo -separador - 1),"-")</f>
        <v>NY 11758</v>
      </c>
      <c r="H226" t="s">
        <v>4566</v>
      </c>
      <c r="I226" t="s">
        <v>3568</v>
      </c>
      <c r="J226" s="2">
        <v>40960.902962962966</v>
      </c>
      <c r="K226" t="s">
        <v>3669</v>
      </c>
      <c r="M226">
        <f>IFERROR(FIND(",",E226),0)</f>
        <v>11</v>
      </c>
      <c r="N226">
        <f>LEN(E226)</f>
        <v>20</v>
      </c>
    </row>
    <row r="227" spans="1:14" outlineLevel="2" x14ac:dyDescent="0.3">
      <c r="A227" s="4" t="s">
        <v>4904</v>
      </c>
      <c r="B227" s="4" t="s">
        <v>232</v>
      </c>
      <c r="C227" s="12">
        <v>35929</v>
      </c>
      <c r="D227" s="4" t="s">
        <v>1458</v>
      </c>
      <c r="E227" s="4" t="s">
        <v>1459</v>
      </c>
      <c r="F227" s="4" t="str">
        <f>IF(separador &gt; 0, LEFT(E227,separador - 1), E227)</f>
        <v>81 Canterbury Street</v>
      </c>
      <c r="G227" s="4" t="str">
        <f>IF(separador &gt; 0, RIGHT(E227,largo -separador - 1),"-")</f>
        <v>-</v>
      </c>
      <c r="H227" s="4" t="s">
        <v>3900</v>
      </c>
      <c r="I227" s="4" t="s">
        <v>2915</v>
      </c>
      <c r="J227" s="13">
        <v>39286.920659722222</v>
      </c>
      <c r="K227" s="4" t="s">
        <v>3669</v>
      </c>
      <c r="M227" s="4">
        <f>IFERROR(FIND(",",E227),0)</f>
        <v>0</v>
      </c>
      <c r="N227" s="4">
        <f>LEN(E227)</f>
        <v>20</v>
      </c>
    </row>
    <row r="228" spans="1:14" outlineLevel="2" x14ac:dyDescent="0.3">
      <c r="A228" t="s">
        <v>4757</v>
      </c>
      <c r="B228" t="s">
        <v>85</v>
      </c>
      <c r="C228" s="1">
        <v>35890</v>
      </c>
      <c r="D228" t="s">
        <v>1164</v>
      </c>
      <c r="E228" t="s">
        <v>1165</v>
      </c>
      <c r="F228" t="str">
        <f>IF(separador &gt; 0, LEFT(E228,separador - 1), E228)</f>
        <v>53 King Street</v>
      </c>
      <c r="G228" t="str">
        <f>IF(separador &gt; 0, RIGHT(E228,largo -separador - 1),"-")</f>
        <v>-</v>
      </c>
      <c r="H228" t="s">
        <v>3753</v>
      </c>
      <c r="I228" t="s">
        <v>2771</v>
      </c>
      <c r="J228" s="2">
        <v>41643.007754629631</v>
      </c>
      <c r="K228" t="s">
        <v>3669</v>
      </c>
      <c r="M228">
        <f>IFERROR(FIND(",",E228),0)</f>
        <v>0</v>
      </c>
      <c r="N228">
        <f>LEN(E228)</f>
        <v>14</v>
      </c>
    </row>
    <row r="229" spans="1:14" outlineLevel="2" x14ac:dyDescent="0.3">
      <c r="A229" s="4" t="s">
        <v>4975</v>
      </c>
      <c r="B229" s="4" t="s">
        <v>303</v>
      </c>
      <c r="C229" s="12">
        <v>35848</v>
      </c>
      <c r="D229" s="4" t="s">
        <v>1600</v>
      </c>
      <c r="E229" s="4" t="s">
        <v>1601</v>
      </c>
      <c r="F229" s="4" t="str">
        <f>IF(separador &gt; 0, LEFT(E229,separador - 1), E229)</f>
        <v>368 Fifth Dr.</v>
      </c>
      <c r="G229" s="4" t="str">
        <f>IF(separador &gt; 0, RIGHT(E229,largo -separador - 1),"-")</f>
        <v>-</v>
      </c>
      <c r="H229" s="4" t="s">
        <v>3971</v>
      </c>
      <c r="I229" s="4" t="s">
        <v>2985</v>
      </c>
      <c r="J229" s="13">
        <v>39108.71303240741</v>
      </c>
      <c r="K229" s="4" t="s">
        <v>3669</v>
      </c>
      <c r="M229" s="4">
        <f>IFERROR(FIND(",",E229),0)</f>
        <v>0</v>
      </c>
      <c r="N229" s="4">
        <f>LEN(E229)</f>
        <v>13</v>
      </c>
    </row>
    <row r="230" spans="1:14" outlineLevel="2" x14ac:dyDescent="0.3">
      <c r="A230" t="s">
        <v>5262</v>
      </c>
      <c r="B230" t="s">
        <v>590</v>
      </c>
      <c r="C230" s="1">
        <v>35842</v>
      </c>
      <c r="D230" t="s">
        <v>1960</v>
      </c>
      <c r="E230" t="s">
        <v>2102</v>
      </c>
      <c r="F230" t="str">
        <f>IF(separador &gt; 0, LEFT(E230,separador - 1), E230)</f>
        <v>E76 4QI</v>
      </c>
      <c r="G230" t="str">
        <f>IF(separador &gt; 0, RIGHT(E230,largo -separador - 1),"-")</f>
        <v>-</v>
      </c>
      <c r="H230" t="s">
        <v>4258</v>
      </c>
      <c r="I230" t="s">
        <v>3268</v>
      </c>
      <c r="J230" s="2">
        <v>43301.497546296298</v>
      </c>
      <c r="K230" t="s">
        <v>3669</v>
      </c>
      <c r="M230">
        <f>IFERROR(FIND(",",E230),0)</f>
        <v>0</v>
      </c>
      <c r="N230">
        <f>LEN(E230)</f>
        <v>7</v>
      </c>
    </row>
    <row r="231" spans="1:14" outlineLevel="2" x14ac:dyDescent="0.3">
      <c r="A231" s="4" t="s">
        <v>4831</v>
      </c>
      <c r="B231" s="4" t="s">
        <v>159</v>
      </c>
      <c r="C231" s="12">
        <v>35826</v>
      </c>
      <c r="D231" s="4" t="s">
        <v>1312</v>
      </c>
      <c r="E231" s="4" t="s">
        <v>1313</v>
      </c>
      <c r="F231" s="4" t="str">
        <f>IF(separador &gt; 0, LEFT(E231,separador - 1), E231)</f>
        <v>Oxnard</v>
      </c>
      <c r="G231" s="4" t="str">
        <f>IF(separador &gt; 0, RIGHT(E231,largo -separador - 1),"-")</f>
        <v>CA 93030</v>
      </c>
      <c r="H231" s="4" t="s">
        <v>3827</v>
      </c>
      <c r="I231" s="4" t="s">
        <v>2845</v>
      </c>
      <c r="J231" s="13">
        <v>41343.786608796298</v>
      </c>
      <c r="K231" s="4" t="s">
        <v>3669</v>
      </c>
      <c r="M231" s="4">
        <f>IFERROR(FIND(",",E231),0)</f>
        <v>7</v>
      </c>
      <c r="N231" s="4">
        <f>LEN(E231)</f>
        <v>16</v>
      </c>
    </row>
    <row r="232" spans="1:14" outlineLevel="2" x14ac:dyDescent="0.3">
      <c r="A232" t="s">
        <v>5591</v>
      </c>
      <c r="B232" t="s">
        <v>919</v>
      </c>
      <c r="C232" s="1">
        <v>35825</v>
      </c>
      <c r="D232" t="s">
        <v>2606</v>
      </c>
      <c r="E232" t="s">
        <v>2564</v>
      </c>
      <c r="F232" t="str">
        <f>IF(separador &gt; 0, LEFT(E232,separador - 1), E232)</f>
        <v>Bronx</v>
      </c>
      <c r="G232" t="str">
        <f>IF(separador &gt; 0, RIGHT(E232,largo -separador - 1),"-")</f>
        <v>NY 10453</v>
      </c>
      <c r="H232" t="s">
        <v>4587</v>
      </c>
      <c r="I232" t="s">
        <v>3588</v>
      </c>
      <c r="J232" s="2">
        <v>44299.835416666669</v>
      </c>
      <c r="K232" t="s">
        <v>3669</v>
      </c>
      <c r="M232">
        <f>IFERROR(FIND(",",E232),0)</f>
        <v>6</v>
      </c>
      <c r="N232">
        <f>LEN(E232)</f>
        <v>15</v>
      </c>
    </row>
    <row r="233" spans="1:14" outlineLevel="2" x14ac:dyDescent="0.3">
      <c r="A233" s="4" t="s">
        <v>4956</v>
      </c>
      <c r="B233" s="4" t="s">
        <v>284</v>
      </c>
      <c r="C233" s="12">
        <v>35595</v>
      </c>
      <c r="D233" s="4" t="s">
        <v>1562</v>
      </c>
      <c r="E233" s="4" t="s">
        <v>1563</v>
      </c>
      <c r="F233" s="4" t="str">
        <f>IF(separador &gt; 0, LEFT(E233,separador - 1), E233)</f>
        <v>968 E. Aspen Lane</v>
      </c>
      <c r="G233" s="4" t="str">
        <f>IF(separador &gt; 0, RIGHT(E233,largo -separador - 1),"-")</f>
        <v>-</v>
      </c>
      <c r="H233" s="4" t="s">
        <v>3952</v>
      </c>
      <c r="I233" s="4" t="s">
        <v>2967</v>
      </c>
      <c r="J233" s="13">
        <v>43674.233796296299</v>
      </c>
      <c r="K233" s="4" t="s">
        <v>3669</v>
      </c>
      <c r="M233" s="4">
        <f>IFERROR(FIND(",",E233),0)</f>
        <v>0</v>
      </c>
      <c r="N233" s="4">
        <f>LEN(E233)</f>
        <v>17</v>
      </c>
    </row>
    <row r="234" spans="1:14" outlineLevel="2" x14ac:dyDescent="0.3">
      <c r="A234" t="s">
        <v>4830</v>
      </c>
      <c r="B234" t="s">
        <v>158</v>
      </c>
      <c r="C234" s="1">
        <v>35586</v>
      </c>
      <c r="D234" t="s">
        <v>1310</v>
      </c>
      <c r="E234" t="s">
        <v>1311</v>
      </c>
      <c r="F234" t="str">
        <f>IF(separador &gt; 0, LEFT(E234,separador - 1), E234)</f>
        <v>Huntington Beach</v>
      </c>
      <c r="G234" t="str">
        <f>IF(separador &gt; 0, RIGHT(E234,largo -separador - 1),"-")</f>
        <v>CA 92646</v>
      </c>
      <c r="H234" t="s">
        <v>3826</v>
      </c>
      <c r="I234" t="s">
        <v>2844</v>
      </c>
      <c r="J234" s="2">
        <v>38418.201203703706</v>
      </c>
      <c r="K234" t="s">
        <v>3669</v>
      </c>
      <c r="M234">
        <f>IFERROR(FIND(",",E234),0)</f>
        <v>17</v>
      </c>
      <c r="N234">
        <f>LEN(E234)</f>
        <v>26</v>
      </c>
    </row>
    <row r="235" spans="1:14" outlineLevel="2" x14ac:dyDescent="0.3">
      <c r="A235" s="4" t="s">
        <v>4706</v>
      </c>
      <c r="B235" s="4" t="s">
        <v>34</v>
      </c>
      <c r="C235" s="12">
        <v>35503</v>
      </c>
      <c r="D235" s="4" t="s">
        <v>1062</v>
      </c>
      <c r="E235" s="4" t="s">
        <v>1063</v>
      </c>
      <c r="F235" s="4" t="str">
        <f>IF(separador &gt; 0, LEFT(E235,separador - 1), E235)</f>
        <v>Pikesville</v>
      </c>
      <c r="G235" s="4" t="str">
        <f>IF(separador &gt; 0, RIGHT(E235,largo -separador - 1),"-")</f>
        <v>MD 21208</v>
      </c>
      <c r="H235" s="4" t="s">
        <v>3702</v>
      </c>
      <c r="I235" s="4" t="s">
        <v>2720</v>
      </c>
      <c r="J235" s="13">
        <v>41422.539687500001</v>
      </c>
      <c r="K235" s="4" t="s">
        <v>3669</v>
      </c>
      <c r="M235" s="4">
        <f>IFERROR(FIND(",",E235),0)</f>
        <v>11</v>
      </c>
      <c r="N235" s="4">
        <f>LEN(E235)</f>
        <v>20</v>
      </c>
    </row>
    <row r="236" spans="1:14" outlineLevel="2" x14ac:dyDescent="0.3">
      <c r="A236" t="s">
        <v>4825</v>
      </c>
      <c r="B236" t="s">
        <v>153</v>
      </c>
      <c r="C236" s="1">
        <v>35454</v>
      </c>
      <c r="D236" t="s">
        <v>1300</v>
      </c>
      <c r="E236" t="s">
        <v>1301</v>
      </c>
      <c r="F236" t="str">
        <f>IF(separador &gt; 0, LEFT(E236,separador - 1), E236)</f>
        <v>Fremont</v>
      </c>
      <c r="G236" t="str">
        <f>IF(separador &gt; 0, RIGHT(E236,largo -separador - 1),"-")</f>
        <v>CA 94536</v>
      </c>
      <c r="H236" t="s">
        <v>3821</v>
      </c>
      <c r="I236" t="s">
        <v>2839</v>
      </c>
      <c r="J236" s="2">
        <v>43819.494085648148</v>
      </c>
      <c r="K236" t="s">
        <v>3669</v>
      </c>
      <c r="M236">
        <f>IFERROR(FIND(",",E236),0)</f>
        <v>8</v>
      </c>
      <c r="N236">
        <f>LEN(E236)</f>
        <v>17</v>
      </c>
    </row>
    <row r="237" spans="1:14" outlineLevel="2" x14ac:dyDescent="0.3">
      <c r="A237" s="4" t="s">
        <v>4833</v>
      </c>
      <c r="B237" s="4" t="s">
        <v>161</v>
      </c>
      <c r="C237" s="12">
        <v>35349</v>
      </c>
      <c r="D237" s="4" t="s">
        <v>1316</v>
      </c>
      <c r="E237" s="4" t="s">
        <v>1317</v>
      </c>
      <c r="F237" s="4" t="str">
        <f>IF(separador &gt; 0, LEFT(E237,separador - 1), E237)</f>
        <v>Sacramento</v>
      </c>
      <c r="G237" s="4" t="str">
        <f>IF(separador &gt; 0, RIGHT(E237,largo -separador - 1),"-")</f>
        <v>CA 95828</v>
      </c>
      <c r="H237" s="4" t="s">
        <v>3829</v>
      </c>
      <c r="I237" s="4" t="s">
        <v>2847</v>
      </c>
      <c r="J237" s="13">
        <v>40794.801296296297</v>
      </c>
      <c r="K237" s="4" t="s">
        <v>3669</v>
      </c>
      <c r="M237" s="4">
        <f>IFERROR(FIND(",",E237),0)</f>
        <v>11</v>
      </c>
      <c r="N237" s="4">
        <f>LEN(E237)</f>
        <v>20</v>
      </c>
    </row>
    <row r="238" spans="1:14" outlineLevel="2" x14ac:dyDescent="0.3">
      <c r="A238" t="s">
        <v>5020</v>
      </c>
      <c r="B238" t="s">
        <v>348</v>
      </c>
      <c r="C238" s="1">
        <v>35312</v>
      </c>
      <c r="D238" t="s">
        <v>1690</v>
      </c>
      <c r="E238" t="s">
        <v>1691</v>
      </c>
      <c r="F238" t="str">
        <f>IF(separador &gt; 0, LEFT(E238,separador - 1), E238)</f>
        <v>7147 Heather St.</v>
      </c>
      <c r="G238" t="str">
        <f>IF(separador &gt; 0, RIGHT(E238,largo -separador - 1),"-")</f>
        <v>-</v>
      </c>
      <c r="H238" t="s">
        <v>4016</v>
      </c>
      <c r="I238" t="s">
        <v>3030</v>
      </c>
      <c r="J238" s="2">
        <v>40024.663113425922</v>
      </c>
      <c r="K238" t="s">
        <v>3669</v>
      </c>
      <c r="M238">
        <f>IFERROR(FIND(",",E238),0)</f>
        <v>0</v>
      </c>
      <c r="N238">
        <f>LEN(E238)</f>
        <v>16</v>
      </c>
    </row>
    <row r="239" spans="1:14" outlineLevel="2" x14ac:dyDescent="0.3">
      <c r="A239" s="4" t="s">
        <v>5457</v>
      </c>
      <c r="B239" s="4" t="s">
        <v>785</v>
      </c>
      <c r="C239" s="12">
        <v>35295</v>
      </c>
      <c r="D239" s="4" t="s">
        <v>2373</v>
      </c>
      <c r="E239" s="4" t="s">
        <v>2374</v>
      </c>
      <c r="F239" s="4" t="str">
        <f>IF(separador &gt; 0, LEFT(E239,separador - 1), E239)</f>
        <v>West Babylon</v>
      </c>
      <c r="G239" s="4" t="str">
        <f>IF(separador &gt; 0, RIGHT(E239,largo -separador - 1),"-")</f>
        <v>NY 11704</v>
      </c>
      <c r="H239" s="4" t="s">
        <v>4453</v>
      </c>
      <c r="I239" s="4" t="s">
        <v>3456</v>
      </c>
      <c r="J239" s="13">
        <v>44268.747118055559</v>
      </c>
      <c r="K239" s="4" t="s">
        <v>3669</v>
      </c>
      <c r="M239" s="4">
        <f>IFERROR(FIND(",",E239),0)</f>
        <v>13</v>
      </c>
      <c r="N239" s="4">
        <f>LEN(E239)</f>
        <v>22</v>
      </c>
    </row>
    <row r="240" spans="1:14" outlineLevel="2" x14ac:dyDescent="0.3">
      <c r="A240" t="s">
        <v>5388</v>
      </c>
      <c r="B240" t="s">
        <v>716</v>
      </c>
      <c r="C240" s="1">
        <v>35267</v>
      </c>
      <c r="D240" t="s">
        <v>1960</v>
      </c>
      <c r="E240" t="s">
        <v>2269</v>
      </c>
      <c r="F240" t="str">
        <f>IF(separador &gt; 0, LEFT(E240,separador - 1), E240)</f>
        <v>W45 7MN</v>
      </c>
      <c r="G240" t="str">
        <f>IF(separador &gt; 0, RIGHT(E240,largo -separador - 1),"-")</f>
        <v>-</v>
      </c>
      <c r="H240" t="s">
        <v>4384</v>
      </c>
      <c r="I240" t="s">
        <v>3391</v>
      </c>
      <c r="J240" s="2">
        <v>44199.014861111114</v>
      </c>
      <c r="K240" t="s">
        <v>3669</v>
      </c>
      <c r="M240">
        <f>IFERROR(FIND(",",E240),0)</f>
        <v>0</v>
      </c>
      <c r="N240">
        <f>LEN(E240)</f>
        <v>7</v>
      </c>
    </row>
    <row r="241" spans="1:14" outlineLevel="2" x14ac:dyDescent="0.3">
      <c r="A241" s="4" t="s">
        <v>4900</v>
      </c>
      <c r="B241" s="4" t="s">
        <v>228</v>
      </c>
      <c r="C241" s="12">
        <v>34983</v>
      </c>
      <c r="D241" s="4" t="s">
        <v>1450</v>
      </c>
      <c r="E241" s="4" t="s">
        <v>1451</v>
      </c>
      <c r="F241" s="4" t="str">
        <f>IF(separador &gt; 0, LEFT(E241,separador - 1), E241)</f>
        <v>9949 Dogwood Ave.</v>
      </c>
      <c r="G241" s="4" t="str">
        <f>IF(separador &gt; 0, RIGHT(E241,largo -separador - 1),"-")</f>
        <v>-</v>
      </c>
      <c r="H241" s="4" t="s">
        <v>3896</v>
      </c>
      <c r="I241" s="4" t="s">
        <v>2911</v>
      </c>
      <c r="J241" s="13">
        <v>43440.295613425929</v>
      </c>
      <c r="K241" s="4" t="s">
        <v>3669</v>
      </c>
      <c r="M241" s="4">
        <f>IFERROR(FIND(",",E241),0)</f>
        <v>0</v>
      </c>
      <c r="N241" s="4">
        <f>LEN(E241)</f>
        <v>17</v>
      </c>
    </row>
    <row r="242" spans="1:14" outlineLevel="2" x14ac:dyDescent="0.3">
      <c r="A242" t="s">
        <v>5321</v>
      </c>
      <c r="B242" t="s">
        <v>649</v>
      </c>
      <c r="C242" s="1">
        <v>34897</v>
      </c>
      <c r="D242" t="s">
        <v>2180</v>
      </c>
      <c r="E242" t="s">
        <v>2181</v>
      </c>
      <c r="F242" t="str">
        <f>IF(separador &gt; 0, LEFT(E242,separador - 1), E242)</f>
        <v>68 Main Road</v>
      </c>
      <c r="G242" t="str">
        <f>IF(separador &gt; 0, RIGHT(E242,largo -separador - 1),"-")</f>
        <v>-</v>
      </c>
      <c r="H242" t="s">
        <v>4317</v>
      </c>
      <c r="I242" t="s">
        <v>3326</v>
      </c>
      <c r="J242" s="2">
        <v>40568.162060185183</v>
      </c>
      <c r="K242" t="s">
        <v>3669</v>
      </c>
      <c r="M242">
        <f>IFERROR(FIND(",",E242),0)</f>
        <v>0</v>
      </c>
      <c r="N242">
        <f>LEN(E242)</f>
        <v>12</v>
      </c>
    </row>
    <row r="243" spans="1:14" outlineLevel="2" x14ac:dyDescent="0.3">
      <c r="A243" s="4" t="s">
        <v>5604</v>
      </c>
      <c r="B243" s="4" t="s">
        <v>932</v>
      </c>
      <c r="C243" s="12">
        <v>34855</v>
      </c>
      <c r="D243" s="4" t="s">
        <v>2619</v>
      </c>
      <c r="E243" s="4" t="s">
        <v>2548</v>
      </c>
      <c r="F243" s="4" t="str">
        <f>IF(separador &gt; 0, LEFT(E243,separador - 1), E243)</f>
        <v>Elmont</v>
      </c>
      <c r="G243" s="4" t="str">
        <f>IF(separador &gt; 0, RIGHT(E243,largo -separador - 1),"-")</f>
        <v>NY 11003</v>
      </c>
      <c r="H243" s="4" t="s">
        <v>4600</v>
      </c>
      <c r="I243" s="4" t="s">
        <v>3601</v>
      </c>
      <c r="J243" s="13">
        <v>39448.47991898148</v>
      </c>
      <c r="K243" s="4" t="s">
        <v>3669</v>
      </c>
      <c r="M243" s="4">
        <f>IFERROR(FIND(",",E243),0)</f>
        <v>7</v>
      </c>
      <c r="N243" s="4">
        <f>LEN(E243)</f>
        <v>16</v>
      </c>
    </row>
    <row r="244" spans="1:14" outlineLevel="2" x14ac:dyDescent="0.3">
      <c r="A244" t="s">
        <v>4892</v>
      </c>
      <c r="B244" t="s">
        <v>220</v>
      </c>
      <c r="C244" s="1">
        <v>34787</v>
      </c>
      <c r="D244" t="s">
        <v>1434</v>
      </c>
      <c r="E244" t="s">
        <v>1435</v>
      </c>
      <c r="F244" t="str">
        <f>IF(separador &gt; 0, LEFT(E244,separador - 1), E244)</f>
        <v>425 Cherry Hill Court</v>
      </c>
      <c r="G244" t="str">
        <f>IF(separador &gt; 0, RIGHT(E244,largo -separador - 1),"-")</f>
        <v>-</v>
      </c>
      <c r="H244" t="s">
        <v>3888</v>
      </c>
      <c r="I244" t="s">
        <v>2903</v>
      </c>
      <c r="J244" s="2">
        <v>40392.918576388889</v>
      </c>
      <c r="K244" t="s">
        <v>3669</v>
      </c>
      <c r="M244">
        <f>IFERROR(FIND(",",E244),0)</f>
        <v>0</v>
      </c>
      <c r="N244">
        <f>LEN(E244)</f>
        <v>21</v>
      </c>
    </row>
    <row r="245" spans="1:14" outlineLevel="2" x14ac:dyDescent="0.3">
      <c r="A245" s="4" t="s">
        <v>5660</v>
      </c>
      <c r="B245" s="4" t="s">
        <v>988</v>
      </c>
      <c r="C245" s="12">
        <v>34730</v>
      </c>
      <c r="D245" s="4" t="s">
        <v>2675</v>
      </c>
      <c r="E245" s="4" t="s">
        <v>2540</v>
      </c>
      <c r="F245" s="4" t="str">
        <f>IF(separador &gt; 0, LEFT(E245,separador - 1), E245)</f>
        <v>Brooklyn</v>
      </c>
      <c r="G245" s="4" t="str">
        <f>IF(separador &gt; 0, RIGHT(E245,largo -separador - 1),"-")</f>
        <v>NY 11216</v>
      </c>
      <c r="H245" s="4" t="s">
        <v>4656</v>
      </c>
      <c r="I245" s="4" t="s">
        <v>3653</v>
      </c>
      <c r="J245" s="13">
        <v>43430.870752314811</v>
      </c>
      <c r="K245" s="4" t="s">
        <v>3669</v>
      </c>
      <c r="M245" s="4">
        <f>IFERROR(FIND(",",E245),0)</f>
        <v>9</v>
      </c>
      <c r="N245" s="4">
        <f>LEN(E245)</f>
        <v>18</v>
      </c>
    </row>
    <row r="246" spans="1:14" outlineLevel="2" x14ac:dyDescent="0.3">
      <c r="A246" t="s">
        <v>4767</v>
      </c>
      <c r="B246" t="s">
        <v>95</v>
      </c>
      <c r="C246" s="1">
        <v>34715</v>
      </c>
      <c r="D246" t="s">
        <v>1184</v>
      </c>
      <c r="E246" t="s">
        <v>1185</v>
      </c>
      <c r="F246" t="str">
        <f>IF(separador &gt; 0, LEFT(E246,separador - 1), E246)</f>
        <v>M78 7CQ</v>
      </c>
      <c r="G246" t="str">
        <f>IF(separador &gt; 0, RIGHT(E246,largo -separador - 1),"-")</f>
        <v>-</v>
      </c>
      <c r="H246" t="s">
        <v>3763</v>
      </c>
      <c r="I246" t="s">
        <v>2781</v>
      </c>
      <c r="J246" s="2">
        <v>42343.866747685184</v>
      </c>
      <c r="K246" t="s">
        <v>3669</v>
      </c>
      <c r="M246">
        <f>IFERROR(FIND(",",E246),0)</f>
        <v>0</v>
      </c>
      <c r="N246">
        <f>LEN(E246)</f>
        <v>7</v>
      </c>
    </row>
    <row r="247" spans="1:14" outlineLevel="2" x14ac:dyDescent="0.3">
      <c r="A247" s="4" t="s">
        <v>4916</v>
      </c>
      <c r="B247" s="4" t="s">
        <v>244</v>
      </c>
      <c r="C247" s="12">
        <v>34650</v>
      </c>
      <c r="D247" s="4" t="s">
        <v>1482</v>
      </c>
      <c r="E247" s="4" t="s">
        <v>1483</v>
      </c>
      <c r="F247" s="4" t="str">
        <f>IF(separador &gt; 0, LEFT(E247,separador - 1), E247)</f>
        <v>226 Taylor Rd.</v>
      </c>
      <c r="G247" s="4" t="str">
        <f>IF(separador &gt; 0, RIGHT(E247,largo -separador - 1),"-")</f>
        <v>-</v>
      </c>
      <c r="H247" s="4" t="s">
        <v>3912</v>
      </c>
      <c r="I247" s="4" t="s">
        <v>2927</v>
      </c>
      <c r="J247" s="13">
        <v>42630.314780092594</v>
      </c>
      <c r="K247" s="4" t="s">
        <v>3669</v>
      </c>
      <c r="M247" s="4">
        <f>IFERROR(FIND(",",E247),0)</f>
        <v>0</v>
      </c>
      <c r="N247" s="4">
        <f>LEN(E247)</f>
        <v>14</v>
      </c>
    </row>
    <row r="248" spans="1:14" outlineLevel="2" x14ac:dyDescent="0.3">
      <c r="A248" t="s">
        <v>5473</v>
      </c>
      <c r="B248" t="s">
        <v>801</v>
      </c>
      <c r="C248" s="1">
        <v>34537</v>
      </c>
      <c r="D248" t="s">
        <v>2404</v>
      </c>
      <c r="E248" t="s">
        <v>2405</v>
      </c>
      <c r="F248" t="str">
        <f>IF(separador &gt; 0, LEFT(E248,separador - 1), E248)</f>
        <v>Bronx</v>
      </c>
      <c r="G248" t="str">
        <f>IF(separador &gt; 0, RIGHT(E248,largo -separador - 1),"-")</f>
        <v>NY 10473</v>
      </c>
      <c r="H248" t="s">
        <v>4469</v>
      </c>
      <c r="I248" t="s">
        <v>3472</v>
      </c>
      <c r="J248" s="2">
        <v>42159.413229166668</v>
      </c>
      <c r="K248" t="s">
        <v>3669</v>
      </c>
      <c r="M248">
        <f>IFERROR(FIND(",",E248),0)</f>
        <v>6</v>
      </c>
      <c r="N248">
        <f>LEN(E248)</f>
        <v>15</v>
      </c>
    </row>
    <row r="249" spans="1:14" outlineLevel="2" x14ac:dyDescent="0.3">
      <c r="A249" s="4" t="s">
        <v>5503</v>
      </c>
      <c r="B249" s="4" t="s">
        <v>831</v>
      </c>
      <c r="C249" s="12">
        <v>34441</v>
      </c>
      <c r="D249" s="4" t="s">
        <v>2463</v>
      </c>
      <c r="E249" s="4" t="s">
        <v>2464</v>
      </c>
      <c r="F249" s="4" t="str">
        <f>IF(separador &gt; 0, LEFT(E249,separador - 1), E249)</f>
        <v>Westbury</v>
      </c>
      <c r="G249" s="4" t="str">
        <f>IF(separador &gt; 0, RIGHT(E249,largo -separador - 1),"-")</f>
        <v>NY 11590</v>
      </c>
      <c r="H249" s="4" t="s">
        <v>4499</v>
      </c>
      <c r="I249" s="4" t="s">
        <v>3502</v>
      </c>
      <c r="J249" s="13">
        <v>44075.330231481479</v>
      </c>
      <c r="K249" s="4" t="s">
        <v>3669</v>
      </c>
      <c r="M249" s="4">
        <f>IFERROR(FIND(",",E249),0)</f>
        <v>9</v>
      </c>
      <c r="N249" s="4">
        <f>LEN(E249)</f>
        <v>18</v>
      </c>
    </row>
    <row r="250" spans="1:14" outlineLevel="2" x14ac:dyDescent="0.3">
      <c r="A250" t="s">
        <v>4710</v>
      </c>
      <c r="B250" t="s">
        <v>38</v>
      </c>
      <c r="C250" s="1">
        <v>34301</v>
      </c>
      <c r="D250" t="s">
        <v>1070</v>
      </c>
      <c r="E250" t="s">
        <v>1071</v>
      </c>
      <c r="F250" t="str">
        <f>IF(separador &gt; 0, LEFT(E250,separador - 1), E250)</f>
        <v>Westfield</v>
      </c>
      <c r="G250" t="str">
        <f>IF(separador &gt; 0, RIGHT(E250,largo -separador - 1),"-")</f>
        <v>MA 01085</v>
      </c>
      <c r="H250" t="s">
        <v>3706</v>
      </c>
      <c r="I250" t="s">
        <v>2724</v>
      </c>
      <c r="J250" s="2">
        <v>42042.795358796298</v>
      </c>
      <c r="K250" t="s">
        <v>3669</v>
      </c>
      <c r="M250">
        <f>IFERROR(FIND(",",E250),0)</f>
        <v>10</v>
      </c>
      <c r="N250">
        <f>LEN(E250)</f>
        <v>19</v>
      </c>
    </row>
    <row r="251" spans="1:14" outlineLevel="2" x14ac:dyDescent="0.3">
      <c r="A251" s="4" t="s">
        <v>5143</v>
      </c>
      <c r="B251" s="4" t="s">
        <v>471</v>
      </c>
      <c r="C251" s="12">
        <v>34274</v>
      </c>
      <c r="D251" s="4" t="s">
        <v>1935</v>
      </c>
      <c r="E251" s="4" t="s">
        <v>1936</v>
      </c>
      <c r="F251" s="4" t="str">
        <f>IF(separador &gt; 0, LEFT(E251,separador - 1), E251)</f>
        <v>Lake Worth</v>
      </c>
      <c r="G251" s="4" t="str">
        <f>IF(separador &gt; 0, RIGHT(E251,largo -separador - 1),"-")</f>
        <v>FL 33461</v>
      </c>
      <c r="H251" s="4" t="s">
        <v>4139</v>
      </c>
      <c r="I251" s="4" t="s">
        <v>3152</v>
      </c>
      <c r="J251" s="13">
        <v>41144.163900462961</v>
      </c>
      <c r="K251" s="4" t="s">
        <v>3669</v>
      </c>
      <c r="M251" s="4">
        <f>IFERROR(FIND(",",E251),0)</f>
        <v>11</v>
      </c>
      <c r="N251" s="4">
        <f>LEN(E251)</f>
        <v>20</v>
      </c>
    </row>
    <row r="252" spans="1:14" outlineLevel="2" x14ac:dyDescent="0.3">
      <c r="A252" t="s">
        <v>5657</v>
      </c>
      <c r="B252" t="s">
        <v>985</v>
      </c>
      <c r="C252" s="1">
        <v>34213</v>
      </c>
      <c r="D252" t="s">
        <v>2672</v>
      </c>
      <c r="E252" t="s">
        <v>2433</v>
      </c>
      <c r="F252" t="str">
        <f>IF(separador &gt; 0, LEFT(E252,separador - 1), E252)</f>
        <v>New York</v>
      </c>
      <c r="G252" t="str">
        <f>IF(separador &gt; 0, RIGHT(E252,largo -separador - 1),"-")</f>
        <v>NY 10024</v>
      </c>
      <c r="H252" t="s">
        <v>4653</v>
      </c>
      <c r="I252" t="s">
        <v>3651</v>
      </c>
      <c r="J252" s="2">
        <v>43440.725451388891</v>
      </c>
      <c r="K252" t="s">
        <v>3669</v>
      </c>
      <c r="M252">
        <f>IFERROR(FIND(",",E252),0)</f>
        <v>9</v>
      </c>
      <c r="N252">
        <f>LEN(E252)</f>
        <v>18</v>
      </c>
    </row>
    <row r="253" spans="1:14" outlineLevel="2" x14ac:dyDescent="0.3">
      <c r="A253" s="4" t="s">
        <v>5354</v>
      </c>
      <c r="B253" s="4" t="s">
        <v>682</v>
      </c>
      <c r="C253" s="12">
        <v>34199</v>
      </c>
      <c r="D253" s="4" t="s">
        <v>2224</v>
      </c>
      <c r="E253" s="4" t="s">
        <v>2225</v>
      </c>
      <c r="F253" s="4" t="str">
        <f>IF(separador &gt; 0, LEFT(E253,separador - 1), E253)</f>
        <v>954 Windsor Road</v>
      </c>
      <c r="G253" s="4" t="str">
        <f>IF(separador &gt; 0, RIGHT(E253,largo -separador - 1),"-")</f>
        <v>-</v>
      </c>
      <c r="H253" s="4" t="s">
        <v>4350</v>
      </c>
      <c r="I253" s="4" t="s">
        <v>3358</v>
      </c>
      <c r="J253" s="13">
        <v>39082.134189814817</v>
      </c>
      <c r="K253" s="4" t="s">
        <v>3669</v>
      </c>
      <c r="M253" s="4">
        <f>IFERROR(FIND(",",E253),0)</f>
        <v>0</v>
      </c>
      <c r="N253" s="4">
        <f>LEN(E253)</f>
        <v>16</v>
      </c>
    </row>
    <row r="254" spans="1:14" outlineLevel="2" x14ac:dyDescent="0.3">
      <c r="A254" t="s">
        <v>4986</v>
      </c>
      <c r="B254" t="s">
        <v>314</v>
      </c>
      <c r="C254" s="1">
        <v>34096</v>
      </c>
      <c r="D254" t="s">
        <v>1622</v>
      </c>
      <c r="E254" t="s">
        <v>1623</v>
      </c>
      <c r="F254" t="str">
        <f>IF(separador &gt; 0, LEFT(E254,separador - 1), E254)</f>
        <v>343 Oxford St.</v>
      </c>
      <c r="G254" t="str">
        <f>IF(separador &gt; 0, RIGHT(E254,largo -separador - 1),"-")</f>
        <v>-</v>
      </c>
      <c r="H254" t="s">
        <v>3982</v>
      </c>
      <c r="I254" t="s">
        <v>2996</v>
      </c>
      <c r="J254" s="2">
        <v>43349.083356481482</v>
      </c>
      <c r="K254" t="s">
        <v>3669</v>
      </c>
      <c r="M254">
        <f>IFERROR(FIND(",",E254),0)</f>
        <v>0</v>
      </c>
      <c r="N254">
        <f>LEN(E254)</f>
        <v>14</v>
      </c>
    </row>
    <row r="255" spans="1:14" outlineLevel="2" x14ac:dyDescent="0.3">
      <c r="A255" s="4" t="s">
        <v>5331</v>
      </c>
      <c r="B255" s="4" t="s">
        <v>659</v>
      </c>
      <c r="C255" s="12">
        <v>34092</v>
      </c>
      <c r="D255" s="4" t="s">
        <v>1960</v>
      </c>
      <c r="E255" s="4" t="s">
        <v>2194</v>
      </c>
      <c r="F255" s="4" t="str">
        <f>IF(separador &gt; 0, LEFT(E255,separador - 1), E255)</f>
        <v>W07 1MG</v>
      </c>
      <c r="G255" s="4" t="str">
        <f>IF(separador &gt; 0, RIGHT(E255,largo -separador - 1),"-")</f>
        <v>-</v>
      </c>
      <c r="H255" s="4" t="s">
        <v>4327</v>
      </c>
      <c r="I255" s="4" t="s">
        <v>3336</v>
      </c>
      <c r="J255" s="13">
        <v>40312.931458333333</v>
      </c>
      <c r="K255" s="4" t="s">
        <v>3669</v>
      </c>
      <c r="M255" s="4">
        <f>IFERROR(FIND(",",E255),0)</f>
        <v>0</v>
      </c>
      <c r="N255" s="4">
        <f>LEN(E255)</f>
        <v>7</v>
      </c>
    </row>
    <row r="256" spans="1:14" outlineLevel="2" x14ac:dyDescent="0.3">
      <c r="A256" t="s">
        <v>4746</v>
      </c>
      <c r="B256" t="s">
        <v>74</v>
      </c>
      <c r="C256" s="1">
        <v>33899</v>
      </c>
      <c r="D256" t="s">
        <v>1142</v>
      </c>
      <c r="E256" t="s">
        <v>1143</v>
      </c>
      <c r="F256" t="str">
        <f>IF(separador &gt; 0, LEFT(E256,separador - 1), E256)</f>
        <v>RH45 1LV</v>
      </c>
      <c r="G256" t="str">
        <f>IF(separador &gt; 0, RIGHT(E256,largo -separador - 1),"-")</f>
        <v>-</v>
      </c>
      <c r="H256" t="s">
        <v>3742</v>
      </c>
      <c r="I256" t="s">
        <v>2760</v>
      </c>
      <c r="J256" s="2">
        <v>41777.592349537037</v>
      </c>
      <c r="K256" t="s">
        <v>3669</v>
      </c>
      <c r="M256">
        <f>IFERROR(FIND(",",E256),0)</f>
        <v>0</v>
      </c>
      <c r="N256">
        <f>LEN(E256)</f>
        <v>8</v>
      </c>
    </row>
    <row r="257" spans="1:14" outlineLevel="2" x14ac:dyDescent="0.3">
      <c r="A257" s="4" t="s">
        <v>5652</v>
      </c>
      <c r="B257" s="4" t="s">
        <v>980</v>
      </c>
      <c r="C257" s="12">
        <v>33874</v>
      </c>
      <c r="D257" s="4" t="s">
        <v>2667</v>
      </c>
      <c r="E257" s="4" t="s">
        <v>2520</v>
      </c>
      <c r="F257" s="4" t="str">
        <f>IF(separador &gt; 0, LEFT(E257,separador - 1), E257)</f>
        <v>North Tonawanda</v>
      </c>
      <c r="G257" s="4" t="str">
        <f>IF(separador &gt; 0, RIGHT(E257,largo -separador - 1),"-")</f>
        <v>NY 14120</v>
      </c>
      <c r="H257" s="4" t="s">
        <v>4648</v>
      </c>
      <c r="I257" s="4" t="s">
        <v>3646</v>
      </c>
      <c r="J257" s="13">
        <v>42291.859722222223</v>
      </c>
      <c r="K257" s="4" t="s">
        <v>3669</v>
      </c>
      <c r="M257" s="4">
        <f>IFERROR(FIND(",",E257),0)</f>
        <v>16</v>
      </c>
      <c r="N257" s="4">
        <f>LEN(E257)</f>
        <v>25</v>
      </c>
    </row>
    <row r="258" spans="1:14" outlineLevel="2" x14ac:dyDescent="0.3">
      <c r="A258" t="s">
        <v>5379</v>
      </c>
      <c r="B258" t="s">
        <v>707</v>
      </c>
      <c r="C258" s="1">
        <v>33848</v>
      </c>
      <c r="D258" t="s">
        <v>1960</v>
      </c>
      <c r="E258" t="s">
        <v>2257</v>
      </c>
      <c r="F258" t="str">
        <f>IF(separador &gt; 0, LEFT(E258,separador - 1), E258)</f>
        <v>E48 1ZX</v>
      </c>
      <c r="G258" t="str">
        <f>IF(separador &gt; 0, RIGHT(E258,largo -separador - 1),"-")</f>
        <v>-</v>
      </c>
      <c r="H258" t="s">
        <v>4375</v>
      </c>
      <c r="I258" t="s">
        <v>3382</v>
      </c>
      <c r="J258" s="2">
        <v>44104.994351851848</v>
      </c>
      <c r="K258" t="s">
        <v>3669</v>
      </c>
      <c r="M258">
        <f>IFERROR(FIND(",",E258),0)</f>
        <v>0</v>
      </c>
      <c r="N258">
        <f>LEN(E258)</f>
        <v>7</v>
      </c>
    </row>
    <row r="259" spans="1:14" outlineLevel="2" x14ac:dyDescent="0.3">
      <c r="A259" s="4" t="s">
        <v>4730</v>
      </c>
      <c r="B259" s="4" t="s">
        <v>58</v>
      </c>
      <c r="C259" s="12">
        <v>33770</v>
      </c>
      <c r="D259" s="4" t="s">
        <v>1110</v>
      </c>
      <c r="E259" s="4" t="s">
        <v>1111</v>
      </c>
      <c r="F259" s="4" t="str">
        <f>IF(separador &gt; 0, LEFT(E259,separador - 1), E259)</f>
        <v>9950 Queen Street</v>
      </c>
      <c r="G259" s="4" t="str">
        <f>IF(separador &gt; 0, RIGHT(E259,largo -separador - 1),"-")</f>
        <v>-</v>
      </c>
      <c r="H259" s="4" t="s">
        <v>3726</v>
      </c>
      <c r="I259" s="4" t="s">
        <v>2744</v>
      </c>
      <c r="J259" s="13">
        <v>42977.750335648147</v>
      </c>
      <c r="K259" s="4" t="s">
        <v>3669</v>
      </c>
      <c r="M259" s="4">
        <f>IFERROR(FIND(",",E259),0)</f>
        <v>0</v>
      </c>
      <c r="N259" s="4">
        <f>LEN(E259)</f>
        <v>17</v>
      </c>
    </row>
    <row r="260" spans="1:14" outlineLevel="2" x14ac:dyDescent="0.3">
      <c r="A260" t="s">
        <v>5158</v>
      </c>
      <c r="B260" t="s">
        <v>486</v>
      </c>
      <c r="C260" s="1">
        <v>33722</v>
      </c>
      <c r="D260" t="s">
        <v>1964</v>
      </c>
      <c r="E260" t="s">
        <v>1960</v>
      </c>
      <c r="F260" t="str">
        <f>IF(separador &gt; 0, LEFT(E260,separador - 1), E260)</f>
        <v>London</v>
      </c>
      <c r="G260" t="str">
        <f>IF(separador &gt; 0, RIGHT(E260,largo -separador - 1),"-")</f>
        <v>-</v>
      </c>
      <c r="H260" t="s">
        <v>4154</v>
      </c>
      <c r="I260" t="s">
        <v>3166</v>
      </c>
      <c r="J260" s="2">
        <v>42655.610937500001</v>
      </c>
      <c r="K260" t="s">
        <v>3669</v>
      </c>
      <c r="M260">
        <f>IFERROR(FIND(",",E260),0)</f>
        <v>0</v>
      </c>
      <c r="N260">
        <f>LEN(E260)</f>
        <v>6</v>
      </c>
    </row>
    <row r="261" spans="1:14" outlineLevel="2" x14ac:dyDescent="0.3">
      <c r="A261" s="4" t="s">
        <v>5233</v>
      </c>
      <c r="B261" s="4" t="s">
        <v>561</v>
      </c>
      <c r="C261" s="12">
        <v>33712</v>
      </c>
      <c r="D261" s="4" t="s">
        <v>2063</v>
      </c>
      <c r="E261" s="4" t="s">
        <v>1960</v>
      </c>
      <c r="F261" s="4" t="str">
        <f>IF(separador &gt; 0, LEFT(E261,separador - 1), E261)</f>
        <v>London</v>
      </c>
      <c r="G261" s="4" t="str">
        <f>IF(separador &gt; 0, RIGHT(E261,largo -separador - 1),"-")</f>
        <v>-</v>
      </c>
      <c r="H261" s="4" t="s">
        <v>4229</v>
      </c>
      <c r="I261" s="4" t="s">
        <v>3241</v>
      </c>
      <c r="J261" s="13">
        <v>44102.861342592594</v>
      </c>
      <c r="K261" s="4" t="s">
        <v>3669</v>
      </c>
      <c r="M261" s="4">
        <f>IFERROR(FIND(",",E261),0)</f>
        <v>0</v>
      </c>
      <c r="N261" s="4">
        <f>LEN(E261)</f>
        <v>6</v>
      </c>
    </row>
    <row r="262" spans="1:14" outlineLevel="2" x14ac:dyDescent="0.3">
      <c r="A262" t="s">
        <v>4822</v>
      </c>
      <c r="B262" t="s">
        <v>150</v>
      </c>
      <c r="C262" s="1">
        <v>33667</v>
      </c>
      <c r="D262" t="s">
        <v>1294</v>
      </c>
      <c r="E262" t="s">
        <v>1295</v>
      </c>
      <c r="F262" t="str">
        <f>IF(separador &gt; 0, LEFT(E262,separador - 1), E262)</f>
        <v>San Francisco</v>
      </c>
      <c r="G262" t="str">
        <f>IF(separador &gt; 0, RIGHT(E262,largo -separador - 1),"-")</f>
        <v>CA 94112</v>
      </c>
      <c r="H262" t="s">
        <v>3818</v>
      </c>
      <c r="I262" t="s">
        <v>2836</v>
      </c>
      <c r="J262" s="2">
        <v>38886.761562500003</v>
      </c>
      <c r="K262" t="s">
        <v>3669</v>
      </c>
      <c r="M262">
        <f>IFERROR(FIND(",",E262),0)</f>
        <v>14</v>
      </c>
      <c r="N262">
        <f>LEN(E262)</f>
        <v>23</v>
      </c>
    </row>
    <row r="263" spans="1:14" outlineLevel="2" x14ac:dyDescent="0.3">
      <c r="A263" s="4" t="s">
        <v>5421</v>
      </c>
      <c r="B263" s="4" t="s">
        <v>749</v>
      </c>
      <c r="C263" s="12">
        <v>33619</v>
      </c>
      <c r="D263" s="4" t="s">
        <v>1960</v>
      </c>
      <c r="E263" s="4" t="s">
        <v>2313</v>
      </c>
      <c r="F263" s="4" t="str">
        <f>IF(separador &gt; 0, LEFT(E263,separador - 1), E263)</f>
        <v>W60 2PX</v>
      </c>
      <c r="G263" s="4" t="str">
        <f>IF(separador &gt; 0, RIGHT(E263,largo -separador - 1),"-")</f>
        <v>-</v>
      </c>
      <c r="H263" s="4" t="s">
        <v>4417</v>
      </c>
      <c r="I263" s="4" t="s">
        <v>3423</v>
      </c>
      <c r="J263" s="13">
        <v>41927.277002314811</v>
      </c>
      <c r="K263" s="4" t="s">
        <v>3669</v>
      </c>
      <c r="M263" s="4">
        <f>IFERROR(FIND(",",E263),0)</f>
        <v>0</v>
      </c>
      <c r="N263" s="4">
        <f>LEN(E263)</f>
        <v>7</v>
      </c>
    </row>
    <row r="264" spans="1:14" outlineLevel="2" x14ac:dyDescent="0.3">
      <c r="A264" t="s">
        <v>5551</v>
      </c>
      <c r="B264" t="s">
        <v>879</v>
      </c>
      <c r="C264" s="1">
        <v>33486</v>
      </c>
      <c r="D264" t="s">
        <v>2559</v>
      </c>
      <c r="E264" t="s">
        <v>2560</v>
      </c>
      <c r="F264" t="str">
        <f>IF(separador &gt; 0, LEFT(E264,separador - 1), E264)</f>
        <v>Brooklyn</v>
      </c>
      <c r="G264" t="str">
        <f>IF(separador &gt; 0, RIGHT(E264,largo -separador - 1),"-")</f>
        <v>NY 11235</v>
      </c>
      <c r="H264" t="s">
        <v>4547</v>
      </c>
      <c r="I264" t="s">
        <v>3549</v>
      </c>
      <c r="J264" s="2">
        <v>42264.55914351852</v>
      </c>
      <c r="K264" t="s">
        <v>3669</v>
      </c>
      <c r="M264">
        <f>IFERROR(FIND(",",E264),0)</f>
        <v>9</v>
      </c>
      <c r="N264">
        <f>LEN(E264)</f>
        <v>18</v>
      </c>
    </row>
    <row r="265" spans="1:14" outlineLevel="2" x14ac:dyDescent="0.3">
      <c r="A265" s="4" t="s">
        <v>4923</v>
      </c>
      <c r="B265" s="4" t="s">
        <v>251</v>
      </c>
      <c r="C265" s="12">
        <v>33407</v>
      </c>
      <c r="D265" s="4" t="s">
        <v>1496</v>
      </c>
      <c r="E265" s="4" t="s">
        <v>1497</v>
      </c>
      <c r="F265" s="4" t="str">
        <f>IF(separador &gt; 0, LEFT(E265,separador - 1), E265)</f>
        <v>759 Mayfair Court</v>
      </c>
      <c r="G265" s="4" t="str">
        <f>IF(separador &gt; 0, RIGHT(E265,largo -separador - 1),"-")</f>
        <v>-</v>
      </c>
      <c r="H265" s="4" t="s">
        <v>3919</v>
      </c>
      <c r="I265" s="4" t="s">
        <v>2934</v>
      </c>
      <c r="J265" s="13">
        <v>43662.63003472222</v>
      </c>
      <c r="K265" s="4" t="s">
        <v>3669</v>
      </c>
      <c r="M265" s="4">
        <f>IFERROR(FIND(",",E265),0)</f>
        <v>0</v>
      </c>
      <c r="N265" s="4">
        <f>LEN(E265)</f>
        <v>17</v>
      </c>
    </row>
    <row r="266" spans="1:14" outlineLevel="2" x14ac:dyDescent="0.3">
      <c r="A266" t="s">
        <v>4971</v>
      </c>
      <c r="B266" t="s">
        <v>299</v>
      </c>
      <c r="C266" s="1">
        <v>33294</v>
      </c>
      <c r="D266" t="s">
        <v>1592</v>
      </c>
      <c r="E266" t="s">
        <v>1593</v>
      </c>
      <c r="F266" t="str">
        <f>IF(separador &gt; 0, LEFT(E266,separador - 1), E266)</f>
        <v>22 Jackson Rd.</v>
      </c>
      <c r="G266" t="str">
        <f>IF(separador &gt; 0, RIGHT(E266,largo -separador - 1),"-")</f>
        <v>-</v>
      </c>
      <c r="H266" t="s">
        <v>3967</v>
      </c>
      <c r="I266" t="s">
        <v>2981</v>
      </c>
      <c r="J266" s="2">
        <v>40159.74627314815</v>
      </c>
      <c r="K266" t="s">
        <v>3669</v>
      </c>
      <c r="M266">
        <f>IFERROR(FIND(",",E266),0)</f>
        <v>0</v>
      </c>
      <c r="N266">
        <f>LEN(E266)</f>
        <v>14</v>
      </c>
    </row>
    <row r="267" spans="1:14" outlineLevel="2" x14ac:dyDescent="0.3">
      <c r="A267" s="4" t="s">
        <v>5167</v>
      </c>
      <c r="B267" s="4" t="s">
        <v>495</v>
      </c>
      <c r="C267" s="12">
        <v>33286</v>
      </c>
      <c r="D267" s="4" t="s">
        <v>1976</v>
      </c>
      <c r="E267" s="4" t="s">
        <v>1960</v>
      </c>
      <c r="F267" s="4" t="str">
        <f>IF(separador &gt; 0, LEFT(E267,separador - 1), E267)</f>
        <v>London</v>
      </c>
      <c r="G267" s="4" t="str">
        <f>IF(separador &gt; 0, RIGHT(E267,largo -separador - 1),"-")</f>
        <v>-</v>
      </c>
      <c r="H267" s="4" t="s">
        <v>4163</v>
      </c>
      <c r="I267" s="4" t="s">
        <v>3175</v>
      </c>
      <c r="J267" s="13">
        <v>38899.095324074071</v>
      </c>
      <c r="K267" s="4" t="s">
        <v>3669</v>
      </c>
      <c r="M267" s="4">
        <f>IFERROR(FIND(",",E267),0)</f>
        <v>0</v>
      </c>
      <c r="N267" s="4">
        <f>LEN(E267)</f>
        <v>6</v>
      </c>
    </row>
    <row r="268" spans="1:14" outlineLevel="2" x14ac:dyDescent="0.3">
      <c r="A268" t="s">
        <v>4687</v>
      </c>
      <c r="B268" t="s">
        <v>15</v>
      </c>
      <c r="C268" s="1">
        <v>33211</v>
      </c>
      <c r="D268" t="s">
        <v>1024</v>
      </c>
      <c r="E268" t="s">
        <v>1025</v>
      </c>
      <c r="F268" t="str">
        <f>IF(separador &gt; 0, LEFT(E268,separador - 1), E268)</f>
        <v>Fall River</v>
      </c>
      <c r="G268" t="str">
        <f>IF(separador &gt; 0, RIGHT(E268,largo -separador - 1),"-")</f>
        <v>MA 02720</v>
      </c>
      <c r="H268" t="s">
        <v>3683</v>
      </c>
      <c r="I268" t="s">
        <v>2701</v>
      </c>
      <c r="J268" s="2">
        <v>41513.763252314813</v>
      </c>
      <c r="K268" t="s">
        <v>3669</v>
      </c>
      <c r="M268">
        <f>IFERROR(FIND(",",E268),0)</f>
        <v>11</v>
      </c>
      <c r="N268">
        <f>LEN(E268)</f>
        <v>20</v>
      </c>
    </row>
    <row r="269" spans="1:14" outlineLevel="2" x14ac:dyDescent="0.3">
      <c r="A269" s="4" t="s">
        <v>5496</v>
      </c>
      <c r="B269" s="4" t="s">
        <v>824</v>
      </c>
      <c r="C269" s="12">
        <v>33208</v>
      </c>
      <c r="D269" s="4" t="s">
        <v>2450</v>
      </c>
      <c r="E269" s="4" t="s">
        <v>2451</v>
      </c>
      <c r="F269" s="4" t="str">
        <f>IF(separador &gt; 0, LEFT(E269,separador - 1), E269)</f>
        <v>Brooklyn</v>
      </c>
      <c r="G269" s="4" t="str">
        <f>IF(separador &gt; 0, RIGHT(E269,largo -separador - 1),"-")</f>
        <v>NY 11213</v>
      </c>
      <c r="H269" s="4" t="s">
        <v>4492</v>
      </c>
      <c r="I269" s="4" t="s">
        <v>3495</v>
      </c>
      <c r="J269" s="13">
        <v>39106.202685185184</v>
      </c>
      <c r="K269" s="4" t="s">
        <v>3669</v>
      </c>
      <c r="M269" s="4">
        <f>IFERROR(FIND(",",E269),0)</f>
        <v>9</v>
      </c>
      <c r="N269" s="4">
        <f>LEN(E269)</f>
        <v>18</v>
      </c>
    </row>
    <row r="270" spans="1:14" outlineLevel="2" x14ac:dyDescent="0.3">
      <c r="A270" t="s">
        <v>4989</v>
      </c>
      <c r="B270" t="s">
        <v>317</v>
      </c>
      <c r="C270" s="1">
        <v>33175</v>
      </c>
      <c r="D270" t="s">
        <v>1628</v>
      </c>
      <c r="E270" t="s">
        <v>1629</v>
      </c>
      <c r="F270" t="str">
        <f>IF(separador &gt; 0, LEFT(E270,separador - 1), E270)</f>
        <v>7651 Carriage Dr.</v>
      </c>
      <c r="G270" t="str">
        <f>IF(separador &gt; 0, RIGHT(E270,largo -separador - 1),"-")</f>
        <v>-</v>
      </c>
      <c r="H270" t="s">
        <v>3985</v>
      </c>
      <c r="I270" t="s">
        <v>2999</v>
      </c>
      <c r="J270" s="2">
        <v>43696.653819444444</v>
      </c>
      <c r="K270" t="s">
        <v>3669</v>
      </c>
      <c r="M270">
        <f>IFERROR(FIND(",",E270),0)</f>
        <v>0</v>
      </c>
      <c r="N270">
        <f>LEN(E270)</f>
        <v>17</v>
      </c>
    </row>
    <row r="271" spans="1:14" outlineLevel="2" x14ac:dyDescent="0.3">
      <c r="A271" s="4" t="s">
        <v>5329</v>
      </c>
      <c r="B271" s="4" t="s">
        <v>657</v>
      </c>
      <c r="C271" s="12">
        <v>33164</v>
      </c>
      <c r="D271" s="4" t="s">
        <v>2191</v>
      </c>
      <c r="E271" s="4" t="s">
        <v>1960</v>
      </c>
      <c r="F271" s="4" t="str">
        <f>IF(separador &gt; 0, LEFT(E271,separador - 1), E271)</f>
        <v>London</v>
      </c>
      <c r="G271" s="4" t="str">
        <f>IF(separador &gt; 0, RIGHT(E271,largo -separador - 1),"-")</f>
        <v>-</v>
      </c>
      <c r="H271" s="4" t="s">
        <v>4325</v>
      </c>
      <c r="I271" s="4" t="s">
        <v>3334</v>
      </c>
      <c r="J271" s="13">
        <v>42909.227939814817</v>
      </c>
      <c r="K271" s="4" t="s">
        <v>3669</v>
      </c>
      <c r="M271" s="4">
        <f>IFERROR(FIND(",",E271),0)</f>
        <v>0</v>
      </c>
      <c r="N271" s="4">
        <f>LEN(E271)</f>
        <v>6</v>
      </c>
    </row>
    <row r="272" spans="1:14" outlineLevel="2" x14ac:dyDescent="0.3">
      <c r="A272" t="s">
        <v>5483</v>
      </c>
      <c r="B272" t="s">
        <v>811</v>
      </c>
      <c r="C272" s="1">
        <v>33086</v>
      </c>
      <c r="D272" t="s">
        <v>2424</v>
      </c>
      <c r="E272" t="s">
        <v>2425</v>
      </c>
      <c r="F272" t="str">
        <f>IF(separador &gt; 0, LEFT(E272,separador - 1), E272)</f>
        <v>Lockport</v>
      </c>
      <c r="G272" t="str">
        <f>IF(separador &gt; 0, RIGHT(E272,largo -separador - 1),"-")</f>
        <v>NY 14094</v>
      </c>
      <c r="H272" t="s">
        <v>4479</v>
      </c>
      <c r="I272" t="s">
        <v>3482</v>
      </c>
      <c r="J272" s="2">
        <v>40806.960219907407</v>
      </c>
      <c r="K272" t="s">
        <v>3669</v>
      </c>
      <c r="M272">
        <f>IFERROR(FIND(",",E272),0)</f>
        <v>9</v>
      </c>
      <c r="N272">
        <f>LEN(E272)</f>
        <v>18</v>
      </c>
    </row>
    <row r="273" spans="1:14" outlineLevel="2" x14ac:dyDescent="0.3">
      <c r="A273" s="4" t="s">
        <v>5513</v>
      </c>
      <c r="B273" s="4" t="s">
        <v>841</v>
      </c>
      <c r="C273" s="12">
        <v>33053</v>
      </c>
      <c r="D273" s="4" t="s">
        <v>2483</v>
      </c>
      <c r="E273" s="4" t="s">
        <v>2484</v>
      </c>
      <c r="F273" s="4" t="str">
        <f>IF(separador &gt; 0, LEFT(E273,separador - 1), E273)</f>
        <v>Huntington</v>
      </c>
      <c r="G273" s="4" t="str">
        <f>IF(separador &gt; 0, RIGHT(E273,largo -separador - 1),"-")</f>
        <v>NY 11743</v>
      </c>
      <c r="H273" s="4" t="s">
        <v>4509</v>
      </c>
      <c r="I273" s="4" t="s">
        <v>3512</v>
      </c>
      <c r="J273" s="13">
        <v>43205.605092592596</v>
      </c>
      <c r="K273" s="4" t="s">
        <v>3669</v>
      </c>
      <c r="M273" s="4">
        <f>IFERROR(FIND(",",E273),0)</f>
        <v>11</v>
      </c>
      <c r="N273" s="4">
        <f>LEN(E273)</f>
        <v>20</v>
      </c>
    </row>
    <row r="274" spans="1:14" outlineLevel="2" x14ac:dyDescent="0.3">
      <c r="A274" t="s">
        <v>4905</v>
      </c>
      <c r="B274" t="s">
        <v>233</v>
      </c>
      <c r="C274" s="1">
        <v>32986</v>
      </c>
      <c r="D274" t="s">
        <v>1460</v>
      </c>
      <c r="E274" t="s">
        <v>1461</v>
      </c>
      <c r="F274" t="str">
        <f>IF(separador &gt; 0, LEFT(E274,separador - 1), E274)</f>
        <v>1 Westminster Street</v>
      </c>
      <c r="G274" t="str">
        <f>IF(separador &gt; 0, RIGHT(E274,largo -separador - 1),"-")</f>
        <v>-</v>
      </c>
      <c r="H274" t="s">
        <v>3901</v>
      </c>
      <c r="I274" t="s">
        <v>2916</v>
      </c>
      <c r="J274" s="2">
        <v>42249.933946759258</v>
      </c>
      <c r="K274" t="s">
        <v>3669</v>
      </c>
      <c r="M274">
        <f>IFERROR(FIND(",",E274),0)</f>
        <v>0</v>
      </c>
      <c r="N274">
        <f>LEN(E274)</f>
        <v>20</v>
      </c>
    </row>
    <row r="275" spans="1:14" outlineLevel="2" x14ac:dyDescent="0.3">
      <c r="A275" s="4" t="s">
        <v>5423</v>
      </c>
      <c r="B275" s="4" t="s">
        <v>751</v>
      </c>
      <c r="C275" s="12">
        <v>32921</v>
      </c>
      <c r="D275" s="4" t="s">
        <v>2315</v>
      </c>
      <c r="E275" s="4" t="s">
        <v>2316</v>
      </c>
      <c r="F275" s="4" t="str">
        <f>IF(separador &gt; 0, LEFT(E275,separador - 1), E275)</f>
        <v>9 Broadway</v>
      </c>
      <c r="G275" s="4" t="str">
        <f>IF(separador &gt; 0, RIGHT(E275,largo -separador - 1),"-")</f>
        <v>-</v>
      </c>
      <c r="H275" s="4" t="s">
        <v>4419</v>
      </c>
      <c r="I275" s="4" t="s">
        <v>3425</v>
      </c>
      <c r="J275" s="13">
        <v>43026.278449074074</v>
      </c>
      <c r="K275" s="4" t="s">
        <v>3669</v>
      </c>
      <c r="M275" s="4">
        <f>IFERROR(FIND(",",E275),0)</f>
        <v>0</v>
      </c>
      <c r="N275" s="4">
        <f>LEN(E275)</f>
        <v>10</v>
      </c>
    </row>
    <row r="276" spans="1:14" outlineLevel="2" x14ac:dyDescent="0.3">
      <c r="A276" t="s">
        <v>5194</v>
      </c>
      <c r="B276" t="s">
        <v>522</v>
      </c>
      <c r="C276" s="1">
        <v>32785</v>
      </c>
      <c r="D276" t="s">
        <v>2012</v>
      </c>
      <c r="E276" t="s">
        <v>1960</v>
      </c>
      <c r="F276" t="str">
        <f>IF(separador &gt; 0, LEFT(E276,separador - 1), E276)</f>
        <v>London</v>
      </c>
      <c r="G276" t="str">
        <f>IF(separador &gt; 0, RIGHT(E276,largo -separador - 1),"-")</f>
        <v>-</v>
      </c>
      <c r="H276" t="s">
        <v>4190</v>
      </c>
      <c r="I276" t="s">
        <v>3202</v>
      </c>
      <c r="J276" s="2">
        <v>43596.22384259259</v>
      </c>
      <c r="K276" t="s">
        <v>3669</v>
      </c>
      <c r="M276">
        <f>IFERROR(FIND(",",E276),0)</f>
        <v>0</v>
      </c>
      <c r="N276">
        <f>LEN(E276)</f>
        <v>6</v>
      </c>
    </row>
    <row r="277" spans="1:14" outlineLevel="2" x14ac:dyDescent="0.3">
      <c r="A277" s="4" t="s">
        <v>4934</v>
      </c>
      <c r="B277" s="4" t="s">
        <v>262</v>
      </c>
      <c r="C277" s="12">
        <v>32777</v>
      </c>
      <c r="D277" s="4" t="s">
        <v>1518</v>
      </c>
      <c r="E277" s="4" t="s">
        <v>1519</v>
      </c>
      <c r="F277" s="4" t="str">
        <f>IF(separador &gt; 0, LEFT(E277,separador - 1), E277)</f>
        <v>9599 East Water Ave.</v>
      </c>
      <c r="G277" s="4" t="str">
        <f>IF(separador &gt; 0, RIGHT(E277,largo -separador - 1),"-")</f>
        <v>-</v>
      </c>
      <c r="H277" s="4" t="s">
        <v>3930</v>
      </c>
      <c r="I277" s="4" t="s">
        <v>2945</v>
      </c>
      <c r="J277" s="13">
        <v>40483.95894675926</v>
      </c>
      <c r="K277" s="4" t="s">
        <v>3669</v>
      </c>
      <c r="M277" s="4">
        <f>IFERROR(FIND(",",E277),0)</f>
        <v>0</v>
      </c>
      <c r="N277" s="4">
        <f>LEN(E277)</f>
        <v>20</v>
      </c>
    </row>
    <row r="278" spans="1:14" outlineLevel="2" x14ac:dyDescent="0.3">
      <c r="A278" t="s">
        <v>5298</v>
      </c>
      <c r="B278" t="s">
        <v>626</v>
      </c>
      <c r="C278" s="1">
        <v>32771</v>
      </c>
      <c r="D278" t="s">
        <v>1960</v>
      </c>
      <c r="E278" t="s">
        <v>2150</v>
      </c>
      <c r="F278" t="str">
        <f>IF(separador &gt; 0, LEFT(E278,separador - 1), E278)</f>
        <v>SW74 1QG</v>
      </c>
      <c r="G278" t="str">
        <f>IF(separador &gt; 0, RIGHT(E278,largo -separador - 1),"-")</f>
        <v>-</v>
      </c>
      <c r="H278" t="s">
        <v>4294</v>
      </c>
      <c r="I278" t="s">
        <v>3303</v>
      </c>
      <c r="J278" s="2">
        <v>41301.514432870368</v>
      </c>
      <c r="K278" t="s">
        <v>3669</v>
      </c>
      <c r="M278">
        <f>IFERROR(FIND(",",E278),0)</f>
        <v>0</v>
      </c>
      <c r="N278">
        <f>LEN(E278)</f>
        <v>8</v>
      </c>
    </row>
    <row r="279" spans="1:14" outlineLevel="2" x14ac:dyDescent="0.3">
      <c r="A279" s="4" t="s">
        <v>5267</v>
      </c>
      <c r="B279" s="4" t="s">
        <v>595</v>
      </c>
      <c r="C279" s="12">
        <v>32766</v>
      </c>
      <c r="D279" s="4" t="s">
        <v>2108</v>
      </c>
      <c r="E279" s="4" t="s">
        <v>2109</v>
      </c>
      <c r="F279" s="4" t="str">
        <f>IF(separador &gt; 0, LEFT(E279,separador - 1), E279)</f>
        <v>9822 Victoria Street</v>
      </c>
      <c r="G279" s="4" t="str">
        <f>IF(separador &gt; 0, RIGHT(E279,largo -separador - 1),"-")</f>
        <v>-</v>
      </c>
      <c r="H279" s="4" t="s">
        <v>4263</v>
      </c>
      <c r="I279" s="4" t="s">
        <v>3273</v>
      </c>
      <c r="J279" s="13">
        <v>40982.447962962964</v>
      </c>
      <c r="K279" s="4" t="s">
        <v>3669</v>
      </c>
      <c r="M279" s="4">
        <f>IFERROR(FIND(",",E279),0)</f>
        <v>0</v>
      </c>
      <c r="N279" s="4">
        <f>LEN(E279)</f>
        <v>20</v>
      </c>
    </row>
    <row r="280" spans="1:14" outlineLevel="2" x14ac:dyDescent="0.3">
      <c r="A280" t="s">
        <v>5145</v>
      </c>
      <c r="B280" t="s">
        <v>473</v>
      </c>
      <c r="C280" s="1">
        <v>32667</v>
      </c>
      <c r="D280" t="s">
        <v>1939</v>
      </c>
      <c r="E280" t="s">
        <v>1940</v>
      </c>
      <c r="F280" t="str">
        <f>IF(separador &gt; 0, LEFT(E280,separador - 1), E280)</f>
        <v>Bradenton</v>
      </c>
      <c r="G280" t="str">
        <f>IF(separador &gt; 0, RIGHT(E280,largo -separador - 1),"-")</f>
        <v>FL 34209</v>
      </c>
      <c r="H280" t="s">
        <v>4141</v>
      </c>
      <c r="I280" t="s">
        <v>3154</v>
      </c>
      <c r="J280" s="2">
        <v>39942.603634259256</v>
      </c>
      <c r="K280" t="s">
        <v>3669</v>
      </c>
      <c r="M280">
        <f>IFERROR(FIND(",",E280),0)</f>
        <v>10</v>
      </c>
      <c r="N280">
        <f>LEN(E280)</f>
        <v>19</v>
      </c>
    </row>
    <row r="281" spans="1:14" outlineLevel="2" x14ac:dyDescent="0.3">
      <c r="A281" s="4" t="s">
        <v>5280</v>
      </c>
      <c r="B281" s="4" t="s">
        <v>608</v>
      </c>
      <c r="C281" s="12">
        <v>32613</v>
      </c>
      <c r="D281" s="4" t="s">
        <v>1960</v>
      </c>
      <c r="E281" s="4" t="s">
        <v>2126</v>
      </c>
      <c r="F281" s="4" t="str">
        <f>IF(separador &gt; 0, LEFT(E281,separador - 1), E281)</f>
        <v>N85 9WT</v>
      </c>
      <c r="G281" s="4" t="str">
        <f>IF(separador &gt; 0, RIGHT(E281,largo -separador - 1),"-")</f>
        <v>-</v>
      </c>
      <c r="H281" s="4" t="s">
        <v>4276</v>
      </c>
      <c r="I281" s="4" t="s">
        <v>3286</v>
      </c>
      <c r="J281" s="13">
        <v>41847.720856481479</v>
      </c>
      <c r="K281" s="4" t="s">
        <v>3669</v>
      </c>
      <c r="M281" s="4">
        <f>IFERROR(FIND(",",E281),0)</f>
        <v>0</v>
      </c>
      <c r="N281" s="4">
        <f>LEN(E281)</f>
        <v>7</v>
      </c>
    </row>
    <row r="282" spans="1:14" outlineLevel="2" x14ac:dyDescent="0.3">
      <c r="A282" t="s">
        <v>5481</v>
      </c>
      <c r="B282" t="s">
        <v>809</v>
      </c>
      <c r="C282" s="1">
        <v>32494</v>
      </c>
      <c r="D282" t="s">
        <v>2420</v>
      </c>
      <c r="E282" t="s">
        <v>2421</v>
      </c>
      <c r="F282" t="str">
        <f>IF(separador &gt; 0, LEFT(E282,separador - 1), E282)</f>
        <v>Brooklyn</v>
      </c>
      <c r="G282" t="str">
        <f>IF(separador &gt; 0, RIGHT(E282,largo -separador - 1),"-")</f>
        <v>NY 11220</v>
      </c>
      <c r="H282" t="s">
        <v>4477</v>
      </c>
      <c r="I282" t="s">
        <v>3480</v>
      </c>
      <c r="J282" s="2">
        <v>41664.204872685186</v>
      </c>
      <c r="K282" t="s">
        <v>3669</v>
      </c>
      <c r="M282">
        <f>IFERROR(FIND(",",E282),0)</f>
        <v>9</v>
      </c>
      <c r="N282">
        <f>LEN(E282)</f>
        <v>18</v>
      </c>
    </row>
    <row r="283" spans="1:14" outlineLevel="2" x14ac:dyDescent="0.3">
      <c r="A283" s="4" t="s">
        <v>4714</v>
      </c>
      <c r="B283" s="4" t="s">
        <v>42</v>
      </c>
      <c r="C283" s="12">
        <v>32471</v>
      </c>
      <c r="D283" s="4" t="s">
        <v>1078</v>
      </c>
      <c r="E283" s="4" t="s">
        <v>1079</v>
      </c>
      <c r="F283" s="4" t="str">
        <f>IF(separador &gt; 0, LEFT(E283,separador - 1), E283)</f>
        <v>Howard Beach</v>
      </c>
      <c r="G283" s="4" t="str">
        <f>IF(separador &gt; 0, RIGHT(E283,largo -separador - 1),"-")</f>
        <v>NY 11414</v>
      </c>
      <c r="H283" s="4" t="s">
        <v>3710</v>
      </c>
      <c r="I283" s="4" t="s">
        <v>2728</v>
      </c>
      <c r="J283" s="13">
        <v>40063.243634259263</v>
      </c>
      <c r="K283" s="4" t="s">
        <v>3669</v>
      </c>
      <c r="M283" s="4">
        <f>IFERROR(FIND(",",E283),0)</f>
        <v>13</v>
      </c>
      <c r="N283" s="4">
        <f>LEN(E283)</f>
        <v>22</v>
      </c>
    </row>
    <row r="284" spans="1:14" outlineLevel="2" x14ac:dyDescent="0.3">
      <c r="A284" t="s">
        <v>5132</v>
      </c>
      <c r="B284" t="s">
        <v>460</v>
      </c>
      <c r="C284" s="1">
        <v>32420</v>
      </c>
      <c r="D284" t="s">
        <v>1913</v>
      </c>
      <c r="E284" t="s">
        <v>1914</v>
      </c>
      <c r="F284" t="str">
        <f>IF(separador &gt; 0, LEFT(E284,separador - 1), E284)</f>
        <v>Fort Lauderdale</v>
      </c>
      <c r="G284" t="str">
        <f>IF(separador &gt; 0, RIGHT(E284,largo -separador - 1),"-")</f>
        <v>FL 33324</v>
      </c>
      <c r="H284" t="s">
        <v>4128</v>
      </c>
      <c r="I284" t="s">
        <v>3141</v>
      </c>
      <c r="J284" s="2">
        <v>41479.957280092596</v>
      </c>
      <c r="K284" t="s">
        <v>3669</v>
      </c>
      <c r="M284">
        <f>IFERROR(FIND(",",E284),0)</f>
        <v>16</v>
      </c>
      <c r="N284">
        <f>LEN(E284)</f>
        <v>25</v>
      </c>
    </row>
    <row r="285" spans="1:14" outlineLevel="2" x14ac:dyDescent="0.3">
      <c r="A285" s="4" t="s">
        <v>5482</v>
      </c>
      <c r="B285" s="4" t="s">
        <v>810</v>
      </c>
      <c r="C285" s="12">
        <v>32397</v>
      </c>
      <c r="D285" s="4" t="s">
        <v>2422</v>
      </c>
      <c r="E285" s="4" t="s">
        <v>2423</v>
      </c>
      <c r="F285" s="4" t="str">
        <f>IF(separador &gt; 0, LEFT(E285,separador - 1), E285)</f>
        <v>Bay Shore</v>
      </c>
      <c r="G285" s="4" t="str">
        <f>IF(separador &gt; 0, RIGHT(E285,largo -separador - 1),"-")</f>
        <v>NY 11706</v>
      </c>
      <c r="H285" s="4" t="s">
        <v>4478</v>
      </c>
      <c r="I285" s="4" t="s">
        <v>3481</v>
      </c>
      <c r="J285" s="13">
        <v>42323.799907407411</v>
      </c>
      <c r="K285" s="4" t="s">
        <v>3669</v>
      </c>
      <c r="M285" s="4">
        <f>IFERROR(FIND(",",E285),0)</f>
        <v>10</v>
      </c>
      <c r="N285" s="4">
        <f>LEN(E285)</f>
        <v>19</v>
      </c>
    </row>
    <row r="286" spans="1:14" outlineLevel="2" x14ac:dyDescent="0.3">
      <c r="A286" t="s">
        <v>4848</v>
      </c>
      <c r="B286" t="s">
        <v>176</v>
      </c>
      <c r="C286" s="1">
        <v>32249</v>
      </c>
      <c r="D286" t="s">
        <v>1346</v>
      </c>
      <c r="E286" t="s">
        <v>1347</v>
      </c>
      <c r="F286" t="str">
        <f>IF(separador &gt; 0, LEFT(E286,separador - 1), E286)</f>
        <v>Cerritos</v>
      </c>
      <c r="G286" t="str">
        <f>IF(separador &gt; 0, RIGHT(E286,largo -separador - 1),"-")</f>
        <v>CA 90703</v>
      </c>
      <c r="H286" t="s">
        <v>3844</v>
      </c>
      <c r="I286" t="s">
        <v>2861</v>
      </c>
      <c r="J286" s="2">
        <v>41141.281817129631</v>
      </c>
      <c r="K286" t="s">
        <v>3669</v>
      </c>
      <c r="M286">
        <f>IFERROR(FIND(",",E286),0)</f>
        <v>9</v>
      </c>
      <c r="N286">
        <f>LEN(E286)</f>
        <v>18</v>
      </c>
    </row>
    <row r="287" spans="1:14" outlineLevel="2" x14ac:dyDescent="0.3">
      <c r="A287" s="4" t="s">
        <v>4957</v>
      </c>
      <c r="B287" s="4" t="s">
        <v>285</v>
      </c>
      <c r="C287" s="12">
        <v>32113</v>
      </c>
      <c r="D287" s="4" t="s">
        <v>1564</v>
      </c>
      <c r="E287" s="4" t="s">
        <v>1565</v>
      </c>
      <c r="F287" s="4" t="str">
        <f>IF(separador &gt; 0, LEFT(E287,separador - 1), E287)</f>
        <v>12 Winding Way St.</v>
      </c>
      <c r="G287" s="4" t="str">
        <f>IF(separador &gt; 0, RIGHT(E287,largo -separador - 1),"-")</f>
        <v>-</v>
      </c>
      <c r="H287" s="4" t="s">
        <v>3953</v>
      </c>
      <c r="I287" s="4" t="s">
        <v>2968</v>
      </c>
      <c r="J287" s="13">
        <v>43524.248645833337</v>
      </c>
      <c r="K287" s="4" t="s">
        <v>3669</v>
      </c>
      <c r="M287" s="4">
        <f>IFERROR(FIND(",",E287),0)</f>
        <v>0</v>
      </c>
      <c r="N287" s="4">
        <f>LEN(E287)</f>
        <v>18</v>
      </c>
    </row>
    <row r="288" spans="1:14" outlineLevel="2" x14ac:dyDescent="0.3">
      <c r="A288" t="s">
        <v>5668</v>
      </c>
      <c r="B288" t="s">
        <v>996</v>
      </c>
      <c r="C288" s="1">
        <v>32092</v>
      </c>
      <c r="D288" t="s">
        <v>2683</v>
      </c>
      <c r="E288" t="s">
        <v>2492</v>
      </c>
      <c r="F288" t="str">
        <f>IF(separador &gt; 0, LEFT(E288,separador - 1), E288)</f>
        <v>Brooklyn</v>
      </c>
      <c r="G288" t="str">
        <f>IF(separador &gt; 0, RIGHT(E288,largo -separador - 1),"-")</f>
        <v>NY 11233</v>
      </c>
      <c r="H288" t="s">
        <v>4664</v>
      </c>
      <c r="I288" t="s">
        <v>3660</v>
      </c>
      <c r="J288" s="2">
        <v>42535.487361111111</v>
      </c>
      <c r="K288" t="s">
        <v>3669</v>
      </c>
      <c r="M288">
        <f>IFERROR(FIND(",",E288),0)</f>
        <v>9</v>
      </c>
      <c r="N288">
        <f>LEN(E288)</f>
        <v>18</v>
      </c>
    </row>
    <row r="289" spans="1:14" outlineLevel="2" x14ac:dyDescent="0.3">
      <c r="A289" s="4" t="s">
        <v>5601</v>
      </c>
      <c r="B289" s="4" t="s">
        <v>929</v>
      </c>
      <c r="C289" s="12">
        <v>32066</v>
      </c>
      <c r="D289" s="4" t="s">
        <v>2616</v>
      </c>
      <c r="E289" s="4" t="s">
        <v>2508</v>
      </c>
      <c r="F289" s="4" t="str">
        <f>IF(separador &gt; 0, LEFT(E289,separador - 1), E289)</f>
        <v>Brooklyn</v>
      </c>
      <c r="G289" s="4" t="str">
        <f>IF(separador &gt; 0, RIGHT(E289,largo -separador - 1),"-")</f>
        <v>NY 11238</v>
      </c>
      <c r="H289" s="4" t="s">
        <v>4597</v>
      </c>
      <c r="I289" s="4" t="s">
        <v>3598</v>
      </c>
      <c r="J289" s="13">
        <v>42208.750081018516</v>
      </c>
      <c r="K289" s="4" t="s">
        <v>3669</v>
      </c>
      <c r="M289" s="4">
        <f>IFERROR(FIND(",",E289),0)</f>
        <v>9</v>
      </c>
      <c r="N289" s="4">
        <f>LEN(E289)</f>
        <v>18</v>
      </c>
    </row>
    <row r="290" spans="1:14" outlineLevel="2" x14ac:dyDescent="0.3">
      <c r="A290" t="s">
        <v>5597</v>
      </c>
      <c r="B290" t="s">
        <v>925</v>
      </c>
      <c r="C290" s="1">
        <v>32042</v>
      </c>
      <c r="D290" t="s">
        <v>2612</v>
      </c>
      <c r="E290" t="s">
        <v>2542</v>
      </c>
      <c r="F290" t="str">
        <f>IF(separador &gt; 0, LEFT(E290,separador - 1), E290)</f>
        <v>Flushing</v>
      </c>
      <c r="G290" t="str">
        <f>IF(separador &gt; 0, RIGHT(E290,largo -separador - 1),"-")</f>
        <v>NY 11355</v>
      </c>
      <c r="H290" t="s">
        <v>4593</v>
      </c>
      <c r="I290" t="s">
        <v>3594</v>
      </c>
      <c r="J290" s="2">
        <v>38456.895254629628</v>
      </c>
      <c r="K290" t="s">
        <v>3669</v>
      </c>
      <c r="M290">
        <f>IFERROR(FIND(",",E290),0)</f>
        <v>9</v>
      </c>
      <c r="N290">
        <f>LEN(E290)</f>
        <v>18</v>
      </c>
    </row>
    <row r="291" spans="1:14" outlineLevel="2" x14ac:dyDescent="0.3">
      <c r="A291" s="4" t="s">
        <v>4773</v>
      </c>
      <c r="B291" s="4" t="s">
        <v>101</v>
      </c>
      <c r="C291" s="12">
        <v>32023</v>
      </c>
      <c r="D291" s="4" t="s">
        <v>1196</v>
      </c>
      <c r="E291" s="4" t="s">
        <v>1197</v>
      </c>
      <c r="F291" s="4" t="str">
        <f>IF(separador &gt; 0, LEFT(E291,separador - 1), E291)</f>
        <v>PA13 7KA</v>
      </c>
      <c r="G291" s="4" t="str">
        <f>IF(separador &gt; 0, RIGHT(E291,largo -separador - 1),"-")</f>
        <v>-</v>
      </c>
      <c r="H291" s="4" t="s">
        <v>3769</v>
      </c>
      <c r="I291" s="4" t="s">
        <v>2787</v>
      </c>
      <c r="J291" s="13">
        <v>42370.476793981485</v>
      </c>
      <c r="K291" s="4" t="s">
        <v>3669</v>
      </c>
      <c r="M291" s="4">
        <f>IFERROR(FIND(",",E291),0)</f>
        <v>0</v>
      </c>
      <c r="N291" s="4">
        <f>LEN(E291)</f>
        <v>8</v>
      </c>
    </row>
    <row r="292" spans="1:14" outlineLevel="2" x14ac:dyDescent="0.3">
      <c r="A292" t="s">
        <v>4778</v>
      </c>
      <c r="B292" t="s">
        <v>106</v>
      </c>
      <c r="C292" s="1">
        <v>31963</v>
      </c>
      <c r="D292" t="s">
        <v>1206</v>
      </c>
      <c r="E292" t="s">
        <v>1207</v>
      </c>
      <c r="F292" t="str">
        <f>IF(separador &gt; 0, LEFT(E292,separador - 1), E292)</f>
        <v>44 Park Road</v>
      </c>
      <c r="G292" t="str">
        <f>IF(separador &gt; 0, RIGHT(E292,largo -separador - 1),"-")</f>
        <v>-</v>
      </c>
      <c r="H292" t="s">
        <v>3774</v>
      </c>
      <c r="I292" t="s">
        <v>2792</v>
      </c>
      <c r="J292" s="2">
        <v>40774.870972222219</v>
      </c>
      <c r="K292" t="s">
        <v>3669</v>
      </c>
      <c r="M292">
        <f>IFERROR(FIND(",",E292),0)</f>
        <v>0</v>
      </c>
      <c r="N292">
        <f>LEN(E292)</f>
        <v>12</v>
      </c>
    </row>
    <row r="293" spans="1:14" outlineLevel="2" x14ac:dyDescent="0.3">
      <c r="A293" s="4" t="s">
        <v>5261</v>
      </c>
      <c r="B293" s="4" t="s">
        <v>589</v>
      </c>
      <c r="C293" s="12">
        <v>31952</v>
      </c>
      <c r="D293" s="4" t="s">
        <v>2100</v>
      </c>
      <c r="E293" s="4" t="s">
        <v>2101</v>
      </c>
      <c r="F293" s="4" t="str">
        <f>IF(separador &gt; 0, LEFT(E293,separador - 1), E293)</f>
        <v>17 North Road</v>
      </c>
      <c r="G293" s="4" t="str">
        <f>IF(separador &gt; 0, RIGHT(E293,largo -separador - 1),"-")</f>
        <v>-</v>
      </c>
      <c r="H293" s="4" t="s">
        <v>4257</v>
      </c>
      <c r="I293" s="4" t="s">
        <v>3267</v>
      </c>
      <c r="J293" s="13">
        <v>39371.01489583333</v>
      </c>
      <c r="K293" s="4" t="s">
        <v>3669</v>
      </c>
      <c r="M293" s="4">
        <f>IFERROR(FIND(",",E293),0)</f>
        <v>0</v>
      </c>
      <c r="N293" s="4">
        <f>LEN(E293)</f>
        <v>13</v>
      </c>
    </row>
    <row r="294" spans="1:14" outlineLevel="2" x14ac:dyDescent="0.3">
      <c r="A294" t="s">
        <v>5218</v>
      </c>
      <c r="B294" t="s">
        <v>546</v>
      </c>
      <c r="C294" s="1">
        <v>31858</v>
      </c>
      <c r="D294" t="s">
        <v>1099</v>
      </c>
      <c r="E294" t="s">
        <v>1960</v>
      </c>
      <c r="F294" t="str">
        <f>IF(separador &gt; 0, LEFT(E294,separador - 1), E294)</f>
        <v>London</v>
      </c>
      <c r="G294" t="str">
        <f>IF(separador &gt; 0, RIGHT(E294,largo -separador - 1),"-")</f>
        <v>-</v>
      </c>
      <c r="H294" t="s">
        <v>4214</v>
      </c>
      <c r="I294" t="s">
        <v>3226</v>
      </c>
      <c r="J294" s="2">
        <v>41194.374386574076</v>
      </c>
      <c r="K294" t="s">
        <v>3669</v>
      </c>
      <c r="M294">
        <f>IFERROR(FIND(",",E294),0)</f>
        <v>0</v>
      </c>
      <c r="N294">
        <f>LEN(E294)</f>
        <v>6</v>
      </c>
    </row>
    <row r="295" spans="1:14" outlineLevel="2" x14ac:dyDescent="0.3">
      <c r="A295" s="4" t="s">
        <v>5585</v>
      </c>
      <c r="B295" s="4" t="s">
        <v>913</v>
      </c>
      <c r="C295" s="12">
        <v>31833</v>
      </c>
      <c r="D295" s="4" t="s">
        <v>2600</v>
      </c>
      <c r="E295" s="4" t="s">
        <v>2496</v>
      </c>
      <c r="F295" s="4" t="str">
        <f>IF(separador &gt; 0, LEFT(E295,separador - 1), E295)</f>
        <v>Poughkeepsie</v>
      </c>
      <c r="G295" s="4" t="str">
        <f>IF(separador &gt; 0, RIGHT(E295,largo -separador - 1),"-")</f>
        <v>NY 12603</v>
      </c>
      <c r="H295" s="4" t="s">
        <v>4581</v>
      </c>
      <c r="I295" s="4" t="s">
        <v>3583</v>
      </c>
      <c r="J295" s="13">
        <v>44247.115717592591</v>
      </c>
      <c r="K295" s="4" t="s">
        <v>3669</v>
      </c>
      <c r="M295" s="4">
        <f>IFERROR(FIND(",",E295),0)</f>
        <v>13</v>
      </c>
      <c r="N295" s="4">
        <f>LEN(E295)</f>
        <v>22</v>
      </c>
    </row>
    <row r="296" spans="1:14" outlineLevel="2" x14ac:dyDescent="0.3">
      <c r="A296" t="s">
        <v>5155</v>
      </c>
      <c r="B296" t="s">
        <v>483</v>
      </c>
      <c r="C296" s="1">
        <v>31808</v>
      </c>
      <c r="D296" t="s">
        <v>1959</v>
      </c>
      <c r="E296" t="s">
        <v>1960</v>
      </c>
      <c r="F296" t="str">
        <f>IF(separador &gt; 0, LEFT(E296,separador - 1), E296)</f>
        <v>London</v>
      </c>
      <c r="G296" t="str">
        <f>IF(separador &gt; 0, RIGHT(E296,largo -separador - 1),"-")</f>
        <v>-</v>
      </c>
      <c r="H296" t="s">
        <v>4151</v>
      </c>
      <c r="I296" t="s">
        <v>3164</v>
      </c>
      <c r="J296" s="2">
        <v>39527.968622685185</v>
      </c>
      <c r="K296" t="s">
        <v>3669</v>
      </c>
      <c r="M296">
        <f>IFERROR(FIND(",",E296),0)</f>
        <v>0</v>
      </c>
      <c r="N296">
        <f>LEN(E296)</f>
        <v>6</v>
      </c>
    </row>
    <row r="297" spans="1:14" outlineLevel="2" x14ac:dyDescent="0.3">
      <c r="A297" s="4" t="s">
        <v>5043</v>
      </c>
      <c r="B297" s="4" t="s">
        <v>371</v>
      </c>
      <c r="C297" s="12">
        <v>31804</v>
      </c>
      <c r="D297" s="4" t="s">
        <v>1736</v>
      </c>
      <c r="E297" s="4" t="s">
        <v>1737</v>
      </c>
      <c r="F297" s="4" t="str">
        <f>IF(separador &gt; 0, LEFT(E297,separador - 1), E297)</f>
        <v>9413 Lexington Dr.</v>
      </c>
      <c r="G297" s="4" t="str">
        <f>IF(separador &gt; 0, RIGHT(E297,largo -separador - 1),"-")</f>
        <v>-</v>
      </c>
      <c r="H297" s="4" t="s">
        <v>4039</v>
      </c>
      <c r="I297" s="4" t="s">
        <v>3053</v>
      </c>
      <c r="J297" s="13">
        <v>38975.557615740741</v>
      </c>
      <c r="K297" s="4" t="s">
        <v>3669</v>
      </c>
      <c r="M297" s="4">
        <f>IFERROR(FIND(",",E297),0)</f>
        <v>0</v>
      </c>
      <c r="N297" s="4">
        <f>LEN(E297)</f>
        <v>18</v>
      </c>
    </row>
    <row r="298" spans="1:14" outlineLevel="2" x14ac:dyDescent="0.3">
      <c r="A298" t="s">
        <v>5446</v>
      </c>
      <c r="B298" t="s">
        <v>774</v>
      </c>
      <c r="C298" s="1">
        <v>31696</v>
      </c>
      <c r="D298" t="s">
        <v>2351</v>
      </c>
      <c r="E298" t="s">
        <v>2352</v>
      </c>
      <c r="F298" t="str">
        <f>IF(separador &gt; 0, LEFT(E298,separador - 1), E298)</f>
        <v>Bronx</v>
      </c>
      <c r="G298" t="str">
        <f>IF(separador &gt; 0, RIGHT(E298,largo -separador - 1),"-")</f>
        <v>NY 10456</v>
      </c>
      <c r="H298" t="s">
        <v>4442</v>
      </c>
      <c r="I298" t="s">
        <v>3446</v>
      </c>
      <c r="J298" s="2">
        <v>43508.367592592593</v>
      </c>
      <c r="K298" t="s">
        <v>3669</v>
      </c>
      <c r="M298">
        <f>IFERROR(FIND(",",E298),0)</f>
        <v>6</v>
      </c>
      <c r="N298">
        <f>LEN(E298)</f>
        <v>15</v>
      </c>
    </row>
    <row r="299" spans="1:14" outlineLevel="2" x14ac:dyDescent="0.3">
      <c r="A299" s="4" t="s">
        <v>4701</v>
      </c>
      <c r="B299" s="4" t="s">
        <v>29</v>
      </c>
      <c r="C299" s="12">
        <v>31653</v>
      </c>
      <c r="D299" s="4" t="s">
        <v>1052</v>
      </c>
      <c r="E299" s="4" t="s">
        <v>1053</v>
      </c>
      <c r="F299" s="4" t="str">
        <f>IF(separador &gt; 0, LEFT(E299,separador - 1), E299)</f>
        <v>Powder Springs</v>
      </c>
      <c r="G299" s="4" t="str">
        <f>IF(separador &gt; 0, RIGHT(E299,largo -separador - 1),"-")</f>
        <v>GA 30127</v>
      </c>
      <c r="H299" s="4" t="s">
        <v>3697</v>
      </c>
      <c r="I299" s="4" t="s">
        <v>2715</v>
      </c>
      <c r="J299" s="13">
        <v>41159.130150462966</v>
      </c>
      <c r="K299" s="4" t="s">
        <v>3669</v>
      </c>
      <c r="M299" s="4">
        <f>IFERROR(FIND(",",E299),0)</f>
        <v>15</v>
      </c>
      <c r="N299" s="4">
        <f>LEN(E299)</f>
        <v>24</v>
      </c>
    </row>
    <row r="300" spans="1:14" outlineLevel="2" x14ac:dyDescent="0.3">
      <c r="A300" t="s">
        <v>5093</v>
      </c>
      <c r="B300" t="s">
        <v>421</v>
      </c>
      <c r="C300" s="1">
        <v>31628</v>
      </c>
      <c r="D300" t="s">
        <v>1835</v>
      </c>
      <c r="E300" t="s">
        <v>1836</v>
      </c>
      <c r="F300" t="str">
        <f>IF(separador &gt; 0, LEFT(E300,separador - 1), E300)</f>
        <v>52 Van Dyke Road</v>
      </c>
      <c r="G300" t="str">
        <f>IF(separador &gt; 0, RIGHT(E300,largo -separador - 1),"-")</f>
        <v>-</v>
      </c>
      <c r="H300" t="s">
        <v>4089</v>
      </c>
      <c r="I300" t="s">
        <v>3103</v>
      </c>
      <c r="J300" s="2">
        <v>41961.480567129627</v>
      </c>
      <c r="K300" t="s">
        <v>3669</v>
      </c>
      <c r="M300">
        <f>IFERROR(FIND(",",E300),0)</f>
        <v>0</v>
      </c>
      <c r="N300">
        <f>LEN(E300)</f>
        <v>16</v>
      </c>
    </row>
    <row r="301" spans="1:14" outlineLevel="2" x14ac:dyDescent="0.3">
      <c r="A301" s="4" t="s">
        <v>5272</v>
      </c>
      <c r="B301" s="4" t="s">
        <v>600</v>
      </c>
      <c r="C301" s="12">
        <v>31626</v>
      </c>
      <c r="D301" s="4" t="s">
        <v>2115</v>
      </c>
      <c r="E301" s="4" t="s">
        <v>1960</v>
      </c>
      <c r="F301" s="4" t="str">
        <f>IF(separador &gt; 0, LEFT(E301,separador - 1), E301)</f>
        <v>London</v>
      </c>
      <c r="G301" s="4" t="str">
        <f>IF(separador &gt; 0, RIGHT(E301,largo -separador - 1),"-")</f>
        <v>-</v>
      </c>
      <c r="H301" s="4" t="s">
        <v>4268</v>
      </c>
      <c r="I301" s="4" t="s">
        <v>3278</v>
      </c>
      <c r="J301" s="13">
        <v>41820.083969907406</v>
      </c>
      <c r="K301" s="4" t="s">
        <v>3669</v>
      </c>
      <c r="M301" s="4">
        <f>IFERROR(FIND(",",E301),0)</f>
        <v>0</v>
      </c>
      <c r="N301" s="4">
        <f>LEN(E301)</f>
        <v>6</v>
      </c>
    </row>
    <row r="302" spans="1:14" outlineLevel="2" x14ac:dyDescent="0.3">
      <c r="A302" t="s">
        <v>5353</v>
      </c>
      <c r="B302" t="s">
        <v>681</v>
      </c>
      <c r="C302" s="1">
        <v>31624</v>
      </c>
      <c r="D302" t="s">
        <v>2223</v>
      </c>
      <c r="E302" t="s">
        <v>1960</v>
      </c>
      <c r="F302" t="str">
        <f>IF(separador &gt; 0, LEFT(E302,separador - 1), E302)</f>
        <v>London</v>
      </c>
      <c r="G302" t="str">
        <f>IF(separador &gt; 0, RIGHT(E302,largo -separador - 1),"-")</f>
        <v>-</v>
      </c>
      <c r="H302" t="s">
        <v>4349</v>
      </c>
      <c r="I302" t="s">
        <v>3357</v>
      </c>
      <c r="J302" s="2">
        <v>39493.355381944442</v>
      </c>
      <c r="K302" t="s">
        <v>3669</v>
      </c>
      <c r="M302">
        <f>IFERROR(FIND(",",E302),0)</f>
        <v>0</v>
      </c>
      <c r="N302">
        <f>LEN(E302)</f>
        <v>6</v>
      </c>
    </row>
    <row r="303" spans="1:14" outlineLevel="2" x14ac:dyDescent="0.3">
      <c r="A303" s="4" t="s">
        <v>4990</v>
      </c>
      <c r="B303" s="4" t="s">
        <v>318</v>
      </c>
      <c r="C303" s="12">
        <v>31598</v>
      </c>
      <c r="D303" s="4" t="s">
        <v>1630</v>
      </c>
      <c r="E303" s="4" t="s">
        <v>1631</v>
      </c>
      <c r="F303" s="4" t="str">
        <f>IF(separador &gt; 0, LEFT(E303,separador - 1), E303)</f>
        <v>7313 Eagle Ave.</v>
      </c>
      <c r="G303" s="4" t="str">
        <f>IF(separador &gt; 0, RIGHT(E303,largo -separador - 1),"-")</f>
        <v>-</v>
      </c>
      <c r="H303" s="4" t="s">
        <v>3986</v>
      </c>
      <c r="I303" s="4" t="s">
        <v>3000</v>
      </c>
      <c r="J303" s="13">
        <v>39245.028564814813</v>
      </c>
      <c r="K303" s="4" t="s">
        <v>3669</v>
      </c>
      <c r="M303" s="4">
        <f>IFERROR(FIND(",",E303),0)</f>
        <v>0</v>
      </c>
      <c r="N303" s="4">
        <f>LEN(E303)</f>
        <v>15</v>
      </c>
    </row>
    <row r="304" spans="1:14" outlineLevel="2" x14ac:dyDescent="0.3">
      <c r="A304" t="s">
        <v>4842</v>
      </c>
      <c r="B304" t="s">
        <v>170</v>
      </c>
      <c r="C304" s="1">
        <v>31596</v>
      </c>
      <c r="D304" t="s">
        <v>1334</v>
      </c>
      <c r="E304" t="s">
        <v>1335</v>
      </c>
      <c r="F304" t="str">
        <f>IF(separador &gt; 0, LEFT(E304,separador - 1), E304)</f>
        <v>San Bernardino</v>
      </c>
      <c r="G304" t="str">
        <f>IF(separador &gt; 0, RIGHT(E304,largo -separador - 1),"-")</f>
        <v>CA 92404</v>
      </c>
      <c r="H304" t="s">
        <v>3838</v>
      </c>
      <c r="I304" t="s">
        <v>2855</v>
      </c>
      <c r="J304" s="2">
        <v>41661.019837962966</v>
      </c>
      <c r="K304" t="s">
        <v>3669</v>
      </c>
      <c r="M304">
        <f>IFERROR(FIND(",",E304),0)</f>
        <v>15</v>
      </c>
      <c r="N304">
        <f>LEN(E304)</f>
        <v>24</v>
      </c>
    </row>
    <row r="305" spans="1:14" outlineLevel="2" x14ac:dyDescent="0.3">
      <c r="A305" s="4" t="s">
        <v>5438</v>
      </c>
      <c r="B305" s="4" t="s">
        <v>766</v>
      </c>
      <c r="C305" s="12">
        <v>31456</v>
      </c>
      <c r="D305" s="4" t="s">
        <v>2335</v>
      </c>
      <c r="E305" s="4" t="s">
        <v>2336</v>
      </c>
      <c r="F305" s="4" t="str">
        <f>IF(separador &gt; 0, LEFT(E305,separador - 1), E305)</f>
        <v>Freeport</v>
      </c>
      <c r="G305" s="4" t="str">
        <f>IF(separador &gt; 0, RIGHT(E305,largo -separador - 1),"-")</f>
        <v>NY 11520</v>
      </c>
      <c r="H305" s="4" t="s">
        <v>4434</v>
      </c>
      <c r="I305" s="4" t="s">
        <v>3438</v>
      </c>
      <c r="J305" s="13">
        <v>39143.313518518517</v>
      </c>
      <c r="K305" s="4" t="s">
        <v>3669</v>
      </c>
      <c r="M305" s="4">
        <f>IFERROR(FIND(",",E305),0)</f>
        <v>9</v>
      </c>
      <c r="N305" s="4">
        <f>LEN(E305)</f>
        <v>18</v>
      </c>
    </row>
    <row r="306" spans="1:14" outlineLevel="2" x14ac:dyDescent="0.3">
      <c r="A306" t="s">
        <v>5182</v>
      </c>
      <c r="B306" t="s">
        <v>510</v>
      </c>
      <c r="C306" s="1">
        <v>31443</v>
      </c>
      <c r="D306" t="s">
        <v>1996</v>
      </c>
      <c r="E306" t="s">
        <v>1960</v>
      </c>
      <c r="F306" t="str">
        <f>IF(separador &gt; 0, LEFT(E306,separador - 1), E306)</f>
        <v>London</v>
      </c>
      <c r="G306" t="str">
        <f>IF(separador &gt; 0, RIGHT(E306,largo -separador - 1),"-")</f>
        <v>-</v>
      </c>
      <c r="H306" t="s">
        <v>4178</v>
      </c>
      <c r="I306" t="s">
        <v>3190</v>
      </c>
      <c r="J306" s="2">
        <v>40115.736064814817</v>
      </c>
      <c r="K306" t="s">
        <v>3669</v>
      </c>
      <c r="M306">
        <f>IFERROR(FIND(",",E306),0)</f>
        <v>0</v>
      </c>
      <c r="N306">
        <f>LEN(E306)</f>
        <v>6</v>
      </c>
    </row>
    <row r="307" spans="1:14" outlineLevel="2" x14ac:dyDescent="0.3">
      <c r="A307" s="4" t="s">
        <v>5484</v>
      </c>
      <c r="B307" s="4" t="s">
        <v>812</v>
      </c>
      <c r="C307" s="12">
        <v>31304</v>
      </c>
      <c r="D307" s="4" t="s">
        <v>2426</v>
      </c>
      <c r="E307" s="4" t="s">
        <v>2427</v>
      </c>
      <c r="F307" s="4" t="str">
        <f>IF(separador &gt; 0, LEFT(E307,separador - 1), E307)</f>
        <v>Staten Island</v>
      </c>
      <c r="G307" s="4" t="str">
        <f>IF(separador &gt; 0, RIGHT(E307,largo -separador - 1),"-")</f>
        <v>NY 10306</v>
      </c>
      <c r="H307" s="4" t="s">
        <v>4480</v>
      </c>
      <c r="I307" s="4" t="s">
        <v>3483</v>
      </c>
      <c r="J307" s="13">
        <v>40963.225347222222</v>
      </c>
      <c r="K307" s="4" t="s">
        <v>3669</v>
      </c>
      <c r="M307" s="4">
        <f>IFERROR(FIND(",",E307),0)</f>
        <v>14</v>
      </c>
      <c r="N307" s="4">
        <f>LEN(E307)</f>
        <v>23</v>
      </c>
    </row>
    <row r="308" spans="1:14" outlineLevel="2" x14ac:dyDescent="0.3">
      <c r="A308" t="s">
        <v>5126</v>
      </c>
      <c r="B308" t="s">
        <v>454</v>
      </c>
      <c r="C308" s="1">
        <v>31287</v>
      </c>
      <c r="D308" t="s">
        <v>1901</v>
      </c>
      <c r="E308" t="s">
        <v>1902</v>
      </c>
      <c r="F308" t="str">
        <f>IF(separador &gt; 0, LEFT(E308,separador - 1), E308)</f>
        <v>9055 W. Gonzales Street</v>
      </c>
      <c r="G308" t="str">
        <f>IF(separador &gt; 0, RIGHT(E308,largo -separador - 1),"-")</f>
        <v>-</v>
      </c>
      <c r="H308" t="s">
        <v>4122</v>
      </c>
      <c r="I308" t="s">
        <v>3135</v>
      </c>
      <c r="J308" s="2">
        <v>40296.341481481482</v>
      </c>
      <c r="K308" t="s">
        <v>3669</v>
      </c>
      <c r="M308">
        <f>IFERROR(FIND(",",E308),0)</f>
        <v>0</v>
      </c>
      <c r="N308">
        <f>LEN(E308)</f>
        <v>23</v>
      </c>
    </row>
    <row r="309" spans="1:14" outlineLevel="2" x14ac:dyDescent="0.3">
      <c r="A309" s="4" t="s">
        <v>5240</v>
      </c>
      <c r="B309" s="4" t="s">
        <v>568</v>
      </c>
      <c r="C309" s="12">
        <v>31255</v>
      </c>
      <c r="D309" s="4" t="s">
        <v>2072</v>
      </c>
      <c r="E309" s="4" t="s">
        <v>2073</v>
      </c>
      <c r="F309" s="4" t="str">
        <f>IF(separador &gt; 0, LEFT(E309,separador - 1), E309)</f>
        <v>18 York Road</v>
      </c>
      <c r="G309" s="4" t="str">
        <f>IF(separador &gt; 0, RIGHT(E309,largo -separador - 1),"-")</f>
        <v>-</v>
      </c>
      <c r="H309" s="4" t="s">
        <v>4236</v>
      </c>
      <c r="I309" s="4" t="s">
        <v>3248</v>
      </c>
      <c r="J309" s="13">
        <v>43362.95621527778</v>
      </c>
      <c r="K309" s="4" t="s">
        <v>3669</v>
      </c>
      <c r="M309" s="4">
        <f>IFERROR(FIND(",",E309),0)</f>
        <v>0</v>
      </c>
      <c r="N309" s="4">
        <f>LEN(E309)</f>
        <v>12</v>
      </c>
    </row>
    <row r="310" spans="1:14" outlineLevel="2" x14ac:dyDescent="0.3">
      <c r="A310" t="s">
        <v>4734</v>
      </c>
      <c r="B310" t="s">
        <v>62</v>
      </c>
      <c r="C310" s="1">
        <v>31253</v>
      </c>
      <c r="D310" t="s">
        <v>1118</v>
      </c>
      <c r="E310" t="s">
        <v>1119</v>
      </c>
      <c r="F310" t="str">
        <f>IF(separador &gt; 0, LEFT(E310,separador - 1), E310)</f>
        <v>SY49 2YJ</v>
      </c>
      <c r="G310" t="str">
        <f>IF(separador &gt; 0, RIGHT(E310,largo -separador - 1),"-")</f>
        <v>-</v>
      </c>
      <c r="H310" t="s">
        <v>3730</v>
      </c>
      <c r="I310" t="s">
        <v>2748</v>
      </c>
      <c r="J310" s="2">
        <v>41924.948495370372</v>
      </c>
      <c r="K310" t="s">
        <v>3669</v>
      </c>
      <c r="M310">
        <f>IFERROR(FIND(",",E310),0)</f>
        <v>0</v>
      </c>
      <c r="N310">
        <f>LEN(E310)</f>
        <v>8</v>
      </c>
    </row>
    <row r="311" spans="1:14" outlineLevel="2" x14ac:dyDescent="0.3">
      <c r="A311" s="4" t="s">
        <v>4926</v>
      </c>
      <c r="B311" s="4" t="s">
        <v>254</v>
      </c>
      <c r="C311" s="12">
        <v>31153</v>
      </c>
      <c r="D311" s="4" t="s">
        <v>1502</v>
      </c>
      <c r="E311" s="4" t="s">
        <v>1503</v>
      </c>
      <c r="F311" s="4" t="str">
        <f>IF(separador &gt; 0, LEFT(E311,separador - 1), E311)</f>
        <v>524 Dunbar Drive</v>
      </c>
      <c r="G311" s="4" t="str">
        <f>IF(separador &gt; 0, RIGHT(E311,largo -separador - 1),"-")</f>
        <v>-</v>
      </c>
      <c r="H311" s="4" t="s">
        <v>3922</v>
      </c>
      <c r="I311" s="4" t="s">
        <v>2937</v>
      </c>
      <c r="J311" s="13">
        <v>42373.459155092591</v>
      </c>
      <c r="K311" s="4" t="s">
        <v>3669</v>
      </c>
      <c r="M311" s="4">
        <f>IFERROR(FIND(",",E311),0)</f>
        <v>0</v>
      </c>
      <c r="N311" s="4">
        <f>LEN(E311)</f>
        <v>16</v>
      </c>
    </row>
    <row r="312" spans="1:14" outlineLevel="2" x14ac:dyDescent="0.3">
      <c r="A312" t="s">
        <v>5000</v>
      </c>
      <c r="B312" t="s">
        <v>328</v>
      </c>
      <c r="C312" s="1">
        <v>31120</v>
      </c>
      <c r="D312" t="s">
        <v>1650</v>
      </c>
      <c r="E312" t="s">
        <v>1651</v>
      </c>
      <c r="F312" t="str">
        <f>IF(separador &gt; 0, LEFT(E312,separador - 1), E312)</f>
        <v>8904 Vermont Drive</v>
      </c>
      <c r="G312" t="str">
        <f>IF(separador &gt; 0, RIGHT(E312,largo -separador - 1),"-")</f>
        <v>-</v>
      </c>
      <c r="H312" t="s">
        <v>3996</v>
      </c>
      <c r="I312" t="s">
        <v>3010</v>
      </c>
      <c r="J312" s="2">
        <v>44271.468865740739</v>
      </c>
      <c r="K312" t="s">
        <v>3669</v>
      </c>
      <c r="M312">
        <f>IFERROR(FIND(",",E312),0)</f>
        <v>0</v>
      </c>
      <c r="N312">
        <f>LEN(E312)</f>
        <v>18</v>
      </c>
    </row>
    <row r="313" spans="1:14" outlineLevel="2" x14ac:dyDescent="0.3">
      <c r="A313" s="4" t="s">
        <v>5033</v>
      </c>
      <c r="B313" s="4" t="s">
        <v>361</v>
      </c>
      <c r="C313" s="12">
        <v>30964</v>
      </c>
      <c r="D313" s="4" t="s">
        <v>1716</v>
      </c>
      <c r="E313" s="4" t="s">
        <v>1717</v>
      </c>
      <c r="F313" s="4" t="str">
        <f>IF(separador &gt; 0, LEFT(E313,separador - 1), E313)</f>
        <v>164 Albany Dr.</v>
      </c>
      <c r="G313" s="4" t="str">
        <f>IF(separador &gt; 0, RIGHT(E313,largo -separador - 1),"-")</f>
        <v>-</v>
      </c>
      <c r="H313" s="4" t="s">
        <v>4029</v>
      </c>
      <c r="I313" s="4" t="s">
        <v>3043</v>
      </c>
      <c r="J313" s="13">
        <v>40558.029872685183</v>
      </c>
      <c r="K313" s="4" t="s">
        <v>3669</v>
      </c>
      <c r="M313" s="4">
        <f>IFERROR(FIND(",",E313),0)</f>
        <v>0</v>
      </c>
      <c r="N313" s="4">
        <f>LEN(E313)</f>
        <v>14</v>
      </c>
    </row>
    <row r="314" spans="1:14" outlineLevel="2" x14ac:dyDescent="0.3">
      <c r="A314" t="s">
        <v>5313</v>
      </c>
      <c r="B314" t="s">
        <v>641</v>
      </c>
      <c r="C314" s="1">
        <v>30919</v>
      </c>
      <c r="D314" t="s">
        <v>1960</v>
      </c>
      <c r="E314" t="s">
        <v>2170</v>
      </c>
      <c r="F314" t="str">
        <f>IF(separador &gt; 0, LEFT(E314,separador - 1), E314)</f>
        <v>N70 4MS</v>
      </c>
      <c r="G314" t="str">
        <f>IF(separador &gt; 0, RIGHT(E314,largo -separador - 1),"-")</f>
        <v>-</v>
      </c>
      <c r="H314" t="s">
        <v>4309</v>
      </c>
      <c r="I314" t="s">
        <v>3318</v>
      </c>
      <c r="J314" s="2">
        <v>39148.3672337963</v>
      </c>
      <c r="K314" t="s">
        <v>3669</v>
      </c>
      <c r="M314">
        <f>IFERROR(FIND(",",E314),0)</f>
        <v>0</v>
      </c>
      <c r="N314">
        <f>LEN(E314)</f>
        <v>7</v>
      </c>
    </row>
    <row r="315" spans="1:14" outlineLevel="2" x14ac:dyDescent="0.3">
      <c r="A315" s="4" t="s">
        <v>5149</v>
      </c>
      <c r="B315" s="4" t="s">
        <v>477</v>
      </c>
      <c r="C315" s="12">
        <v>30717</v>
      </c>
      <c r="D315" s="4" t="s">
        <v>1947</v>
      </c>
      <c r="E315" s="4" t="s">
        <v>1948</v>
      </c>
      <c r="F315" s="4" t="str">
        <f>IF(separador &gt; 0, LEFT(E315,separador - 1), E315)</f>
        <v>Hialeah</v>
      </c>
      <c r="G315" s="4" t="str">
        <f>IF(separador &gt; 0, RIGHT(E315,largo -separador - 1),"-")</f>
        <v>FL 33016</v>
      </c>
      <c r="H315" s="4" t="s">
        <v>4145</v>
      </c>
      <c r="I315" s="4" t="s">
        <v>3158</v>
      </c>
      <c r="J315" s="13">
        <v>38762.590428240743</v>
      </c>
      <c r="K315" s="4" t="s">
        <v>3669</v>
      </c>
      <c r="M315" s="4">
        <f>IFERROR(FIND(",",E315),0)</f>
        <v>8</v>
      </c>
      <c r="N315" s="4">
        <f>LEN(E315)</f>
        <v>17</v>
      </c>
    </row>
    <row r="316" spans="1:14" outlineLevel="2" x14ac:dyDescent="0.3">
      <c r="A316" t="s">
        <v>4712</v>
      </c>
      <c r="B316" t="s">
        <v>40</v>
      </c>
      <c r="C316" s="1">
        <v>30715</v>
      </c>
      <c r="D316" t="s">
        <v>1074</v>
      </c>
      <c r="E316" t="s">
        <v>1075</v>
      </c>
      <c r="F316" t="str">
        <f>IF(separador &gt; 0, LEFT(E316,separador - 1), E316)</f>
        <v>Klamath Falls</v>
      </c>
      <c r="G316" t="str">
        <f>IF(separador &gt; 0, RIGHT(E316,largo -separador - 1),"-")</f>
        <v>OR 97603</v>
      </c>
      <c r="H316" t="s">
        <v>3708</v>
      </c>
      <c r="I316" t="s">
        <v>2726</v>
      </c>
      <c r="J316" s="2">
        <v>38946.407060185185</v>
      </c>
      <c r="K316" t="s">
        <v>3669</v>
      </c>
      <c r="M316">
        <f>IFERROR(FIND(",",E316),0)</f>
        <v>14</v>
      </c>
      <c r="N316">
        <f>LEN(E316)</f>
        <v>23</v>
      </c>
    </row>
    <row r="317" spans="1:14" outlineLevel="2" x14ac:dyDescent="0.3">
      <c r="A317" s="4" t="s">
        <v>5106</v>
      </c>
      <c r="B317" s="4" t="s">
        <v>434</v>
      </c>
      <c r="C317" s="12">
        <v>30646</v>
      </c>
      <c r="D317" s="4" t="s">
        <v>1861</v>
      </c>
      <c r="E317" s="4" t="s">
        <v>1862</v>
      </c>
      <c r="F317" s="4" t="str">
        <f>IF(separador &gt; 0, LEFT(E317,separador - 1), E317)</f>
        <v>104 Manor St.</v>
      </c>
      <c r="G317" s="4" t="str">
        <f>IF(separador &gt; 0, RIGHT(E317,largo -separador - 1),"-")</f>
        <v>-</v>
      </c>
      <c r="H317" s="4" t="s">
        <v>4102</v>
      </c>
      <c r="I317" s="4" t="s">
        <v>3115</v>
      </c>
      <c r="J317" s="13">
        <v>40822.498379629629</v>
      </c>
      <c r="K317" s="4" t="s">
        <v>3669</v>
      </c>
      <c r="M317" s="4">
        <f>IFERROR(FIND(",",E317),0)</f>
        <v>0</v>
      </c>
      <c r="N317" s="4">
        <f>LEN(E317)</f>
        <v>13</v>
      </c>
    </row>
    <row r="318" spans="1:14" outlineLevel="2" x14ac:dyDescent="0.3">
      <c r="A318" t="s">
        <v>5056</v>
      </c>
      <c r="B318" t="s">
        <v>384</v>
      </c>
      <c r="C318" s="1">
        <v>30440</v>
      </c>
      <c r="D318" t="s">
        <v>1762</v>
      </c>
      <c r="E318" t="s">
        <v>1763</v>
      </c>
      <c r="F318" t="str">
        <f>IF(separador &gt; 0, LEFT(E318,separador - 1), E318)</f>
        <v>527 South Indian Summer Court</v>
      </c>
      <c r="G318" t="str">
        <f>IF(separador &gt; 0, RIGHT(E318,largo -separador - 1),"-")</f>
        <v>-</v>
      </c>
      <c r="H318" t="s">
        <v>4052</v>
      </c>
      <c r="I318" t="s">
        <v>3066</v>
      </c>
      <c r="J318" s="2">
        <v>38426.605868055558</v>
      </c>
      <c r="K318" t="s">
        <v>3669</v>
      </c>
      <c r="M318">
        <f>IFERROR(FIND(",",E318),0)</f>
        <v>0</v>
      </c>
      <c r="N318">
        <f>LEN(E318)</f>
        <v>29</v>
      </c>
    </row>
    <row r="319" spans="1:14" outlineLevel="2" x14ac:dyDescent="0.3">
      <c r="A319" s="4" t="s">
        <v>5538</v>
      </c>
      <c r="B319" s="4" t="s">
        <v>866</v>
      </c>
      <c r="C319" s="12">
        <v>30416</v>
      </c>
      <c r="D319" s="4" t="s">
        <v>2533</v>
      </c>
      <c r="E319" s="4" t="s">
        <v>2534</v>
      </c>
      <c r="F319" s="4" t="str">
        <f>IF(separador &gt; 0, LEFT(E319,separador - 1), E319)</f>
        <v>New York</v>
      </c>
      <c r="G319" s="4" t="str">
        <f>IF(separador &gt; 0, RIGHT(E319,largo -separador - 1),"-")</f>
        <v>NY 10128</v>
      </c>
      <c r="H319" s="4" t="s">
        <v>4534</v>
      </c>
      <c r="I319" s="4" t="s">
        <v>3536</v>
      </c>
      <c r="J319" s="13">
        <v>43909.344976851855</v>
      </c>
      <c r="K319" s="4" t="s">
        <v>3669</v>
      </c>
      <c r="M319" s="4">
        <f>IFERROR(FIND(",",E319),0)</f>
        <v>9</v>
      </c>
      <c r="N319" s="4">
        <f>LEN(E319)</f>
        <v>18</v>
      </c>
    </row>
    <row r="320" spans="1:14" outlineLevel="2" x14ac:dyDescent="0.3">
      <c r="A320" t="s">
        <v>5144</v>
      </c>
      <c r="B320" t="s">
        <v>472</v>
      </c>
      <c r="C320" s="1">
        <v>30361</v>
      </c>
      <c r="D320" t="s">
        <v>1937</v>
      </c>
      <c r="E320" t="s">
        <v>1938</v>
      </c>
      <c r="F320" t="str">
        <f>IF(separador &gt; 0, LEFT(E320,separador - 1), E320)</f>
        <v>Bradenton</v>
      </c>
      <c r="G320" t="str">
        <f>IF(separador &gt; 0, RIGHT(E320,largo -separador - 1),"-")</f>
        <v>FL 34207</v>
      </c>
      <c r="H320" t="s">
        <v>4140</v>
      </c>
      <c r="I320" t="s">
        <v>3153</v>
      </c>
      <c r="J320" s="2">
        <v>41289.489016203705</v>
      </c>
      <c r="K320" t="s">
        <v>3669</v>
      </c>
      <c r="M320">
        <f>IFERROR(FIND(",",E320),0)</f>
        <v>10</v>
      </c>
      <c r="N320">
        <f>LEN(E320)</f>
        <v>19</v>
      </c>
    </row>
    <row r="321" spans="1:14" outlineLevel="2" x14ac:dyDescent="0.3">
      <c r="A321" s="4" t="s">
        <v>5153</v>
      </c>
      <c r="B321" s="4" t="s">
        <v>481</v>
      </c>
      <c r="C321" s="12">
        <v>30313</v>
      </c>
      <c r="D321" s="4" t="s">
        <v>1955</v>
      </c>
      <c r="E321" s="4" t="s">
        <v>1956</v>
      </c>
      <c r="F321" s="4" t="str">
        <f>IF(separador &gt; 0, LEFT(E321,separador - 1), E321)</f>
        <v>Jacksonville</v>
      </c>
      <c r="G321" s="4" t="str">
        <f>IF(separador &gt; 0, RIGHT(E321,largo -separador - 1),"-")</f>
        <v>FL 32210</v>
      </c>
      <c r="H321" s="4" t="s">
        <v>4149</v>
      </c>
      <c r="I321" s="4" t="s">
        <v>3162</v>
      </c>
      <c r="J321" s="13">
        <v>41323.584745370368</v>
      </c>
      <c r="K321" s="4" t="s">
        <v>3669</v>
      </c>
      <c r="M321" s="4">
        <f>IFERROR(FIND(",",E321),0)</f>
        <v>13</v>
      </c>
      <c r="N321" s="4">
        <f>LEN(E321)</f>
        <v>22</v>
      </c>
    </row>
    <row r="322" spans="1:14" outlineLevel="2" x14ac:dyDescent="0.3">
      <c r="A322" t="s">
        <v>5205</v>
      </c>
      <c r="B322" t="s">
        <v>533</v>
      </c>
      <c r="C322" s="1">
        <v>30237</v>
      </c>
      <c r="D322" t="s">
        <v>1960</v>
      </c>
      <c r="E322" t="s">
        <v>2027</v>
      </c>
      <c r="F322" t="str">
        <f>IF(separador &gt; 0, LEFT(E322,separador - 1), E322)</f>
        <v>E73 8ZM</v>
      </c>
      <c r="G322" t="str">
        <f>IF(separador &gt; 0, RIGHT(E322,largo -separador - 1),"-")</f>
        <v>-</v>
      </c>
      <c r="H322" t="s">
        <v>4201</v>
      </c>
      <c r="I322" t="s">
        <v>3213</v>
      </c>
      <c r="J322" s="2">
        <v>40648.901921296296</v>
      </c>
      <c r="K322" t="s">
        <v>3669</v>
      </c>
      <c r="M322">
        <f>IFERROR(FIND(",",E322),0)</f>
        <v>0</v>
      </c>
      <c r="N322">
        <f>LEN(E322)</f>
        <v>7</v>
      </c>
    </row>
    <row r="323" spans="1:14" outlineLevel="2" x14ac:dyDescent="0.3">
      <c r="A323" s="4" t="s">
        <v>5439</v>
      </c>
      <c r="B323" s="4" t="s">
        <v>767</v>
      </c>
      <c r="C323" s="12">
        <v>30220</v>
      </c>
      <c r="D323" s="4" t="s">
        <v>2337</v>
      </c>
      <c r="E323" s="4" t="s">
        <v>2338</v>
      </c>
      <c r="F323" s="4" t="str">
        <f>IF(separador &gt; 0, LEFT(E323,separador - 1), E323)</f>
        <v>New York</v>
      </c>
      <c r="G323" s="4" t="str">
        <f>IF(separador &gt; 0, RIGHT(E323,largo -separador - 1),"-")</f>
        <v>NY 10031</v>
      </c>
      <c r="H323" s="4" t="s">
        <v>4435</v>
      </c>
      <c r="I323" s="4" t="s">
        <v>3439</v>
      </c>
      <c r="J323" s="13">
        <v>42464.900023148148</v>
      </c>
      <c r="K323" s="4" t="s">
        <v>3669</v>
      </c>
      <c r="M323" s="4">
        <f>IFERROR(FIND(",",E323),0)</f>
        <v>9</v>
      </c>
      <c r="N323" s="4">
        <f>LEN(E323)</f>
        <v>18</v>
      </c>
    </row>
    <row r="324" spans="1:14" outlineLevel="2" x14ac:dyDescent="0.3">
      <c r="A324" t="s">
        <v>5042</v>
      </c>
      <c r="B324" t="s">
        <v>370</v>
      </c>
      <c r="C324" s="1">
        <v>30219</v>
      </c>
      <c r="D324" t="s">
        <v>1734</v>
      </c>
      <c r="E324" t="s">
        <v>1735</v>
      </c>
      <c r="F324" t="str">
        <f>IF(separador &gt; 0, LEFT(E324,separador - 1), E324)</f>
        <v>68 Woodland Ave.</v>
      </c>
      <c r="G324" t="str">
        <f>IF(separador &gt; 0, RIGHT(E324,largo -separador - 1),"-")</f>
        <v>-</v>
      </c>
      <c r="H324" t="s">
        <v>4038</v>
      </c>
      <c r="I324" t="s">
        <v>3052</v>
      </c>
      <c r="J324" s="2">
        <v>44224.85597222222</v>
      </c>
      <c r="K324" t="s">
        <v>3669</v>
      </c>
      <c r="M324">
        <f>IFERROR(FIND(",",E324),0)</f>
        <v>0</v>
      </c>
      <c r="N324">
        <f>LEN(E324)</f>
        <v>16</v>
      </c>
    </row>
    <row r="325" spans="1:14" outlineLevel="2" x14ac:dyDescent="0.3">
      <c r="A325" s="4" t="s">
        <v>4752</v>
      </c>
      <c r="B325" s="4" t="s">
        <v>80</v>
      </c>
      <c r="C325" s="12">
        <v>30170</v>
      </c>
      <c r="D325" s="4" t="s">
        <v>1154</v>
      </c>
      <c r="E325" s="4" t="s">
        <v>1155</v>
      </c>
      <c r="F325" s="4" t="str">
        <f>IF(separador &gt; 0, LEFT(E325,separador - 1), E325)</f>
        <v>SW65 0GH</v>
      </c>
      <c r="G325" s="4" t="str">
        <f>IF(separador &gt; 0, RIGHT(E325,largo -separador - 1),"-")</f>
        <v>-</v>
      </c>
      <c r="H325" s="4" t="s">
        <v>3748</v>
      </c>
      <c r="I325" s="4" t="s">
        <v>2766</v>
      </c>
      <c r="J325" s="13">
        <v>39561.8512962963</v>
      </c>
      <c r="K325" s="4" t="s">
        <v>3669</v>
      </c>
      <c r="M325" s="4">
        <f>IFERROR(FIND(",",E325),0)</f>
        <v>0</v>
      </c>
      <c r="N325" s="4">
        <f>LEN(E325)</f>
        <v>8</v>
      </c>
    </row>
    <row r="326" spans="1:14" outlineLevel="2" x14ac:dyDescent="0.3">
      <c r="A326" t="s">
        <v>5207</v>
      </c>
      <c r="B326" t="s">
        <v>535</v>
      </c>
      <c r="C326" s="1">
        <v>30150</v>
      </c>
      <c r="D326" t="s">
        <v>2029</v>
      </c>
      <c r="E326" t="s">
        <v>2030</v>
      </c>
      <c r="F326" t="str">
        <f>IF(separador &gt; 0, LEFT(E326,separador - 1), E326)</f>
        <v>93 South Street</v>
      </c>
      <c r="G326" t="str">
        <f>IF(separador &gt; 0, RIGHT(E326,largo -separador - 1),"-")</f>
        <v>-</v>
      </c>
      <c r="H326" t="s">
        <v>4203</v>
      </c>
      <c r="I326" t="s">
        <v>3215</v>
      </c>
      <c r="J326" s="2">
        <v>38643.299201388887</v>
      </c>
      <c r="K326" t="s">
        <v>3669</v>
      </c>
      <c r="M326">
        <f>IFERROR(FIND(",",E326),0)</f>
        <v>0</v>
      </c>
      <c r="N326">
        <f>LEN(E326)</f>
        <v>15</v>
      </c>
    </row>
    <row r="327" spans="1:14" outlineLevel="2" x14ac:dyDescent="0.3">
      <c r="A327" s="4" t="s">
        <v>5129</v>
      </c>
      <c r="B327" s="4" t="s">
        <v>457</v>
      </c>
      <c r="C327" s="12">
        <v>30118</v>
      </c>
      <c r="D327" s="4" t="s">
        <v>1907</v>
      </c>
      <c r="E327" s="4" t="s">
        <v>1908</v>
      </c>
      <c r="F327" s="4" t="str">
        <f>IF(separador &gt; 0, LEFT(E327,separador - 1), E327)</f>
        <v>Apopka</v>
      </c>
      <c r="G327" s="4" t="str">
        <f>IF(separador &gt; 0, RIGHT(E327,largo -separador - 1),"-")</f>
        <v>FL 32703</v>
      </c>
      <c r="H327" s="4" t="s">
        <v>4125</v>
      </c>
      <c r="I327" s="4" t="s">
        <v>3138</v>
      </c>
      <c r="J327" s="13">
        <v>39781.432627314818</v>
      </c>
      <c r="K327" s="4" t="s">
        <v>3669</v>
      </c>
      <c r="M327" s="4">
        <f>IFERROR(FIND(",",E327),0)</f>
        <v>7</v>
      </c>
      <c r="N327" s="4">
        <f>LEN(E327)</f>
        <v>16</v>
      </c>
    </row>
    <row r="328" spans="1:14" outlineLevel="2" x14ac:dyDescent="0.3">
      <c r="A328" t="s">
        <v>4889</v>
      </c>
      <c r="B328" t="s">
        <v>217</v>
      </c>
      <c r="C328" s="1">
        <v>30020</v>
      </c>
      <c r="D328" t="s">
        <v>1428</v>
      </c>
      <c r="E328" t="s">
        <v>1429</v>
      </c>
      <c r="F328" t="str">
        <f>IF(separador &gt; 0, LEFT(E328,separador - 1), E328)</f>
        <v>63 East Penn St.</v>
      </c>
      <c r="G328" t="str">
        <f>IF(separador &gt; 0, RIGHT(E328,largo -separador - 1),"-")</f>
        <v>-</v>
      </c>
      <c r="H328" t="s">
        <v>3885</v>
      </c>
      <c r="I328" t="s">
        <v>2900</v>
      </c>
      <c r="J328" s="2">
        <v>42596.214780092596</v>
      </c>
      <c r="K328" t="s">
        <v>3669</v>
      </c>
      <c r="M328">
        <f>IFERROR(FIND(",",E328),0)</f>
        <v>0</v>
      </c>
      <c r="N328">
        <f>LEN(E328)</f>
        <v>16</v>
      </c>
    </row>
    <row r="329" spans="1:14" outlineLevel="2" x14ac:dyDescent="0.3">
      <c r="A329" s="4" t="s">
        <v>5616</v>
      </c>
      <c r="B329" s="4" t="s">
        <v>944</v>
      </c>
      <c r="C329" s="12">
        <v>29981</v>
      </c>
      <c r="D329" s="4" t="s">
        <v>2631</v>
      </c>
      <c r="E329" s="4" t="s">
        <v>2338</v>
      </c>
      <c r="F329" s="4" t="str">
        <f>IF(separador &gt; 0, LEFT(E329,separador - 1), E329)</f>
        <v>New York</v>
      </c>
      <c r="G329" s="4" t="str">
        <f>IF(separador &gt; 0, RIGHT(E329,largo -separador - 1),"-")</f>
        <v>NY 10031</v>
      </c>
      <c r="H329" s="4" t="s">
        <v>4612</v>
      </c>
      <c r="I329" s="4" t="s">
        <v>3613</v>
      </c>
      <c r="J329" s="13">
        <v>39265.846886574072</v>
      </c>
      <c r="K329" s="4" t="s">
        <v>3669</v>
      </c>
      <c r="M329" s="4">
        <f>IFERROR(FIND(",",E329),0)</f>
        <v>9</v>
      </c>
      <c r="N329" s="4">
        <f>LEN(E329)</f>
        <v>18</v>
      </c>
    </row>
    <row r="330" spans="1:14" outlineLevel="2" x14ac:dyDescent="0.3">
      <c r="A330" t="s">
        <v>5333</v>
      </c>
      <c r="B330" t="s">
        <v>661</v>
      </c>
      <c r="C330" s="1">
        <v>29859</v>
      </c>
      <c r="D330" t="s">
        <v>2196</v>
      </c>
      <c r="E330" t="s">
        <v>2197</v>
      </c>
      <c r="F330" t="str">
        <f>IF(separador &gt; 0, LEFT(E330,separador - 1), E330)</f>
        <v>47 St. John’s Road</v>
      </c>
      <c r="G330" t="str">
        <f>IF(separador &gt; 0, RIGHT(E330,largo -separador - 1),"-")</f>
        <v>-</v>
      </c>
      <c r="H330" t="s">
        <v>4329</v>
      </c>
      <c r="I330" t="s">
        <v>3338</v>
      </c>
      <c r="J330" s="2">
        <v>41218.821956018517</v>
      </c>
      <c r="K330" t="s">
        <v>3669</v>
      </c>
      <c r="M330">
        <f>IFERROR(FIND(",",E330),0)</f>
        <v>0</v>
      </c>
      <c r="N330">
        <f>LEN(E330)</f>
        <v>18</v>
      </c>
    </row>
    <row r="331" spans="1:14" outlineLevel="2" x14ac:dyDescent="0.3">
      <c r="A331" s="4" t="s">
        <v>5632</v>
      </c>
      <c r="B331" s="4" t="s">
        <v>960</v>
      </c>
      <c r="C331" s="12">
        <v>29667</v>
      </c>
      <c r="D331" s="4" t="s">
        <v>2647</v>
      </c>
      <c r="E331" s="4" t="s">
        <v>2480</v>
      </c>
      <c r="F331" s="4" t="str">
        <f>IF(separador &gt; 0, LEFT(E331,separador - 1), E331)</f>
        <v>Flushing</v>
      </c>
      <c r="G331" s="4" t="str">
        <f>IF(separador &gt; 0, RIGHT(E331,largo -separador - 1),"-")</f>
        <v>NY 11354</v>
      </c>
      <c r="H331" s="4" t="s">
        <v>4628</v>
      </c>
      <c r="I331" s="4" t="s">
        <v>3628</v>
      </c>
      <c r="J331" s="13">
        <v>39446.890648148146</v>
      </c>
      <c r="K331" s="4" t="s">
        <v>3669</v>
      </c>
      <c r="M331" s="4">
        <f>IFERROR(FIND(",",E331),0)</f>
        <v>9</v>
      </c>
      <c r="N331" s="4">
        <f>LEN(E331)</f>
        <v>18</v>
      </c>
    </row>
    <row r="332" spans="1:14" outlineLevel="2" x14ac:dyDescent="0.3">
      <c r="A332" t="s">
        <v>5383</v>
      </c>
      <c r="B332" t="s">
        <v>711</v>
      </c>
      <c r="C332" s="1">
        <v>29624</v>
      </c>
      <c r="D332" t="s">
        <v>2262</v>
      </c>
      <c r="E332" t="s">
        <v>1960</v>
      </c>
      <c r="F332" t="str">
        <f>IF(separador &gt; 0, LEFT(E332,separador - 1), E332)</f>
        <v>London</v>
      </c>
      <c r="G332" t="str">
        <f>IF(separador &gt; 0, RIGHT(E332,largo -separador - 1),"-")</f>
        <v>-</v>
      </c>
      <c r="H332" t="s">
        <v>4379</v>
      </c>
      <c r="I332" t="s">
        <v>3386</v>
      </c>
      <c r="J332" s="2">
        <v>41708.800821759258</v>
      </c>
      <c r="K332" t="s">
        <v>3669</v>
      </c>
      <c r="M332">
        <f>IFERROR(FIND(",",E332),0)</f>
        <v>0</v>
      </c>
      <c r="N332">
        <f>LEN(E332)</f>
        <v>6</v>
      </c>
    </row>
    <row r="333" spans="1:14" outlineLevel="2" x14ac:dyDescent="0.3">
      <c r="A333" s="4" t="s">
        <v>4894</v>
      </c>
      <c r="B333" s="4" t="s">
        <v>222</v>
      </c>
      <c r="C333" s="12">
        <v>29621</v>
      </c>
      <c r="D333" s="4" t="s">
        <v>1438</v>
      </c>
      <c r="E333" s="4" t="s">
        <v>1439</v>
      </c>
      <c r="F333" s="4" t="str">
        <f>IF(separador &gt; 0, LEFT(E333,separador - 1), E333)</f>
        <v>316 East Oak Meadow Court</v>
      </c>
      <c r="G333" s="4" t="str">
        <f>IF(separador &gt; 0, RIGHT(E333,largo -separador - 1),"-")</f>
        <v>-</v>
      </c>
      <c r="H333" s="4" t="s">
        <v>3890</v>
      </c>
      <c r="I333" s="4" t="s">
        <v>2905</v>
      </c>
      <c r="J333" s="13">
        <v>43798.574988425928</v>
      </c>
      <c r="K333" s="4" t="s">
        <v>3669</v>
      </c>
      <c r="M333" s="4">
        <f>IFERROR(FIND(",",E333),0)</f>
        <v>0</v>
      </c>
      <c r="N333" s="4">
        <f>LEN(E333)</f>
        <v>25</v>
      </c>
    </row>
    <row r="334" spans="1:14" outlineLevel="2" x14ac:dyDescent="0.3">
      <c r="A334" t="s">
        <v>4953</v>
      </c>
      <c r="B334" t="s">
        <v>281</v>
      </c>
      <c r="C334" s="1">
        <v>29502</v>
      </c>
      <c r="D334" t="s">
        <v>1556</v>
      </c>
      <c r="E334" t="s">
        <v>1557</v>
      </c>
      <c r="F334" t="str">
        <f>IF(separador &gt; 0, LEFT(E334,separador - 1), E334)</f>
        <v>389 Ridge Street</v>
      </c>
      <c r="G334" t="str">
        <f>IF(separador &gt; 0, RIGHT(E334,largo -separador - 1),"-")</f>
        <v>-</v>
      </c>
      <c r="H334" t="s">
        <v>3949</v>
      </c>
      <c r="I334" t="s">
        <v>2964</v>
      </c>
      <c r="J334" s="2">
        <v>42120.284895833334</v>
      </c>
      <c r="K334" t="s">
        <v>3669</v>
      </c>
      <c r="M334">
        <f>IFERROR(FIND(",",E334),0)</f>
        <v>0</v>
      </c>
      <c r="N334">
        <f>LEN(E334)</f>
        <v>16</v>
      </c>
    </row>
    <row r="335" spans="1:14" outlineLevel="2" x14ac:dyDescent="0.3">
      <c r="A335" s="4" t="s">
        <v>5006</v>
      </c>
      <c r="B335" s="4" t="s">
        <v>334</v>
      </c>
      <c r="C335" s="12">
        <v>29498</v>
      </c>
      <c r="D335" s="4" t="s">
        <v>1662</v>
      </c>
      <c r="E335" s="4" t="s">
        <v>1663</v>
      </c>
      <c r="F335" s="4" t="str">
        <f>IF(separador &gt; 0, LEFT(E335,separador - 1), E335)</f>
        <v>22 Wall St.</v>
      </c>
      <c r="G335" s="4" t="str">
        <f>IF(separador &gt; 0, RIGHT(E335,largo -separador - 1),"-")</f>
        <v>-</v>
      </c>
      <c r="H335" s="4" t="s">
        <v>4002</v>
      </c>
      <c r="I335" s="4" t="s">
        <v>3016</v>
      </c>
      <c r="J335" s="13">
        <v>43718.914166666669</v>
      </c>
      <c r="K335" s="4" t="s">
        <v>3669</v>
      </c>
      <c r="M335" s="4">
        <f>IFERROR(FIND(",",E335),0)</f>
        <v>0</v>
      </c>
      <c r="N335" s="4">
        <f>LEN(E335)</f>
        <v>11</v>
      </c>
    </row>
    <row r="336" spans="1:14" outlineLevel="2" x14ac:dyDescent="0.3">
      <c r="A336" t="s">
        <v>4834</v>
      </c>
      <c r="B336" t="s">
        <v>162</v>
      </c>
      <c r="C336" s="1">
        <v>29493</v>
      </c>
      <c r="D336" t="s">
        <v>1318</v>
      </c>
      <c r="E336" t="s">
        <v>1319</v>
      </c>
      <c r="F336" t="str">
        <f>IF(separador &gt; 0, LEFT(E336,separador - 1), E336)</f>
        <v>Pittsburg</v>
      </c>
      <c r="G336" t="str">
        <f>IF(separador &gt; 0, RIGHT(E336,largo -separador - 1),"-")</f>
        <v>CA 94565</v>
      </c>
      <c r="H336" t="s">
        <v>3830</v>
      </c>
      <c r="I336" t="s">
        <v>2848</v>
      </c>
      <c r="J336" s="2">
        <v>40683.351354166669</v>
      </c>
      <c r="K336" t="s">
        <v>3669</v>
      </c>
      <c r="M336">
        <f>IFERROR(FIND(",",E336),0)</f>
        <v>10</v>
      </c>
      <c r="N336">
        <f>LEN(E336)</f>
        <v>19</v>
      </c>
    </row>
    <row r="337" spans="1:14" outlineLevel="2" x14ac:dyDescent="0.3">
      <c r="A337" s="4" t="s">
        <v>5487</v>
      </c>
      <c r="B337" s="4" t="s">
        <v>815</v>
      </c>
      <c r="C337" s="12">
        <v>29492</v>
      </c>
      <c r="D337" s="4" t="s">
        <v>2432</v>
      </c>
      <c r="E337" s="4" t="s">
        <v>2433</v>
      </c>
      <c r="F337" s="4" t="str">
        <f>IF(separador &gt; 0, LEFT(E337,separador - 1), E337)</f>
        <v>New York</v>
      </c>
      <c r="G337" s="4" t="str">
        <f>IF(separador &gt; 0, RIGHT(E337,largo -separador - 1),"-")</f>
        <v>NY 10024</v>
      </c>
      <c r="H337" s="4" t="s">
        <v>4483</v>
      </c>
      <c r="I337" s="4" t="s">
        <v>3486</v>
      </c>
      <c r="J337" s="13">
        <v>41370.41479166667</v>
      </c>
      <c r="K337" s="4" t="s">
        <v>3669</v>
      </c>
      <c r="M337" s="4">
        <f>IFERROR(FIND(",",E337),0)</f>
        <v>9</v>
      </c>
      <c r="N337" s="4">
        <f>LEN(E337)</f>
        <v>18</v>
      </c>
    </row>
    <row r="338" spans="1:14" outlineLevel="2" x14ac:dyDescent="0.3">
      <c r="A338" t="s">
        <v>5286</v>
      </c>
      <c r="B338" t="s">
        <v>614</v>
      </c>
      <c r="C338" s="1">
        <v>29452</v>
      </c>
      <c r="D338" t="s">
        <v>1960</v>
      </c>
      <c r="E338" t="s">
        <v>2134</v>
      </c>
      <c r="F338" t="str">
        <f>IF(separador &gt; 0, LEFT(E338,separador - 1), E338)</f>
        <v>EC92 0MA</v>
      </c>
      <c r="G338" t="str">
        <f>IF(separador &gt; 0, RIGHT(E338,largo -separador - 1),"-")</f>
        <v>-</v>
      </c>
      <c r="H338" t="s">
        <v>4282</v>
      </c>
      <c r="I338" t="s">
        <v>3292</v>
      </c>
      <c r="J338" s="2">
        <v>42833.844722222224</v>
      </c>
      <c r="K338" t="s">
        <v>3669</v>
      </c>
      <c r="M338">
        <f>IFERROR(FIND(",",E338),0)</f>
        <v>0</v>
      </c>
      <c r="N338">
        <f>LEN(E338)</f>
        <v>8</v>
      </c>
    </row>
    <row r="339" spans="1:14" outlineLevel="2" x14ac:dyDescent="0.3">
      <c r="A339" s="4" t="s">
        <v>4788</v>
      </c>
      <c r="B339" s="4" t="s">
        <v>116</v>
      </c>
      <c r="C339" s="12">
        <v>29394</v>
      </c>
      <c r="D339" s="4" t="s">
        <v>1226</v>
      </c>
      <c r="E339" s="4" t="s">
        <v>1227</v>
      </c>
      <c r="F339" s="4" t="str">
        <f>IF(separador &gt; 0, LEFT(E339,separador - 1), E339)</f>
        <v>SR69 9RW</v>
      </c>
      <c r="G339" s="4" t="str">
        <f>IF(separador &gt; 0, RIGHT(E339,largo -separador - 1),"-")</f>
        <v>-</v>
      </c>
      <c r="H339" s="4" t="s">
        <v>3784</v>
      </c>
      <c r="I339" s="4" t="s">
        <v>2802</v>
      </c>
      <c r="J339" s="13">
        <v>41832.124166666668</v>
      </c>
      <c r="K339" s="4" t="s">
        <v>3669</v>
      </c>
      <c r="M339" s="4">
        <f>IFERROR(FIND(",",E339),0)</f>
        <v>0</v>
      </c>
      <c r="N339" s="4">
        <f>LEN(E339)</f>
        <v>8</v>
      </c>
    </row>
    <row r="340" spans="1:14" outlineLevel="2" x14ac:dyDescent="0.3">
      <c r="A340" t="s">
        <v>4685</v>
      </c>
      <c r="B340" t="s">
        <v>13</v>
      </c>
      <c r="C340" s="1">
        <v>29339</v>
      </c>
      <c r="D340" t="s">
        <v>1020</v>
      </c>
      <c r="E340" t="s">
        <v>1021</v>
      </c>
      <c r="F340" t="str">
        <f>IF(separador &gt; 0, LEFT(E340,separador - 1), E340)</f>
        <v>Kennewick</v>
      </c>
      <c r="G340" t="str">
        <f>IF(separador &gt; 0, RIGHT(E340,largo -separador - 1),"-")</f>
        <v>WA 99337</v>
      </c>
      <c r="H340" t="s">
        <v>3681</v>
      </c>
      <c r="I340" t="s">
        <v>2699</v>
      </c>
      <c r="J340" s="2">
        <v>41279.909618055557</v>
      </c>
      <c r="K340" t="s">
        <v>3669</v>
      </c>
      <c r="M340">
        <f>IFERROR(FIND(",",E340),0)</f>
        <v>10</v>
      </c>
      <c r="N340">
        <f>LEN(E340)</f>
        <v>19</v>
      </c>
    </row>
    <row r="341" spans="1:14" outlineLevel="2" x14ac:dyDescent="0.3">
      <c r="A341" s="4" t="s">
        <v>4692</v>
      </c>
      <c r="B341" s="4" t="s">
        <v>20</v>
      </c>
      <c r="C341" s="12">
        <v>29329</v>
      </c>
      <c r="D341" s="4" t="s">
        <v>1034</v>
      </c>
      <c r="E341" s="4" t="s">
        <v>1035</v>
      </c>
      <c r="F341" s="4" t="str">
        <f>IF(separador &gt; 0, LEFT(E341,separador - 1), E341)</f>
        <v>Louisville</v>
      </c>
      <c r="G341" s="4" t="str">
        <f>IF(separador &gt; 0, RIGHT(E341,largo -separador - 1),"-")</f>
        <v>KY 40207</v>
      </c>
      <c r="H341" s="4" t="s">
        <v>3688</v>
      </c>
      <c r="I341" s="4" t="s">
        <v>2706</v>
      </c>
      <c r="J341" s="13">
        <v>43779.048159722224</v>
      </c>
      <c r="K341" s="4" t="s">
        <v>3669</v>
      </c>
      <c r="M341" s="4">
        <f>IFERROR(FIND(",",E341),0)</f>
        <v>11</v>
      </c>
      <c r="N341" s="4">
        <f>LEN(E341)</f>
        <v>20</v>
      </c>
    </row>
    <row r="342" spans="1:14" outlineLevel="2" x14ac:dyDescent="0.3">
      <c r="A342" t="s">
        <v>5617</v>
      </c>
      <c r="B342" t="s">
        <v>945</v>
      </c>
      <c r="C342" s="1">
        <v>29304</v>
      </c>
      <c r="D342" t="s">
        <v>2632</v>
      </c>
      <c r="E342" t="s">
        <v>2437</v>
      </c>
      <c r="F342" t="str">
        <f>IF(separador &gt; 0, LEFT(E342,separador - 1), E342)</f>
        <v>Brooklyn</v>
      </c>
      <c r="G342" t="str">
        <f>IF(separador &gt; 0, RIGHT(E342,largo -separador - 1),"-")</f>
        <v>NY 11207</v>
      </c>
      <c r="H342" t="s">
        <v>4613</v>
      </c>
      <c r="I342" t="s">
        <v>3614</v>
      </c>
      <c r="J342" s="2">
        <v>38938.648148148146</v>
      </c>
      <c r="K342" t="s">
        <v>3669</v>
      </c>
      <c r="M342">
        <f>IFERROR(FIND(",",E342),0)</f>
        <v>9</v>
      </c>
      <c r="N342">
        <f>LEN(E342)</f>
        <v>18</v>
      </c>
    </row>
    <row r="343" spans="1:14" outlineLevel="2" x14ac:dyDescent="0.3">
      <c r="A343" s="4" t="s">
        <v>5213</v>
      </c>
      <c r="B343" s="4" t="s">
        <v>541</v>
      </c>
      <c r="C343" s="12">
        <v>29214</v>
      </c>
      <c r="D343" s="4" t="s">
        <v>2037</v>
      </c>
      <c r="E343" s="4" t="s">
        <v>2038</v>
      </c>
      <c r="F343" s="4" t="str">
        <f>IF(separador &gt; 0, LEFT(E343,separador - 1), E343)</f>
        <v>9268 High Street</v>
      </c>
      <c r="G343" s="4" t="str">
        <f>IF(separador &gt; 0, RIGHT(E343,largo -separador - 1),"-")</f>
        <v>-</v>
      </c>
      <c r="H343" s="4" t="s">
        <v>4209</v>
      </c>
      <c r="I343" s="4" t="s">
        <v>3221</v>
      </c>
      <c r="J343" s="13">
        <v>39017.162129629629</v>
      </c>
      <c r="K343" s="4" t="s">
        <v>3669</v>
      </c>
      <c r="M343" s="4">
        <f>IFERROR(FIND(",",E343),0)</f>
        <v>0</v>
      </c>
      <c r="N343" s="4">
        <f>LEN(E343)</f>
        <v>16</v>
      </c>
    </row>
    <row r="344" spans="1:14" outlineLevel="2" x14ac:dyDescent="0.3">
      <c r="A344" t="s">
        <v>5495</v>
      </c>
      <c r="B344" t="s">
        <v>823</v>
      </c>
      <c r="C344" s="1">
        <v>29122</v>
      </c>
      <c r="D344" t="s">
        <v>2448</v>
      </c>
      <c r="E344" t="s">
        <v>2449</v>
      </c>
      <c r="F344" t="str">
        <f>IF(separador &gt; 0, LEFT(E344,separador - 1), E344)</f>
        <v>Buffalo</v>
      </c>
      <c r="G344" t="str">
        <f>IF(separador &gt; 0, RIGHT(E344,largo -separador - 1),"-")</f>
        <v>NY 14224</v>
      </c>
      <c r="H344" t="s">
        <v>4491</v>
      </c>
      <c r="I344" t="s">
        <v>3494</v>
      </c>
      <c r="J344" s="2">
        <v>41746.048067129632</v>
      </c>
      <c r="K344" t="s">
        <v>3669</v>
      </c>
      <c r="M344">
        <f>IFERROR(FIND(",",E344),0)</f>
        <v>8</v>
      </c>
      <c r="N344">
        <f>LEN(E344)</f>
        <v>17</v>
      </c>
    </row>
    <row r="345" spans="1:14" outlineLevel="2" x14ac:dyDescent="0.3">
      <c r="A345" s="4" t="s">
        <v>5461</v>
      </c>
      <c r="B345" s="4" t="s">
        <v>789</v>
      </c>
      <c r="C345" s="12">
        <v>28967</v>
      </c>
      <c r="D345" s="4" t="s">
        <v>2381</v>
      </c>
      <c r="E345" s="4" t="s">
        <v>2382</v>
      </c>
      <c r="F345" s="4" t="str">
        <f>IF(separador &gt; 0, LEFT(E345,separador - 1), E345)</f>
        <v>Patchogue</v>
      </c>
      <c r="G345" s="4" t="str">
        <f>IF(separador &gt; 0, RIGHT(E345,largo -separador - 1),"-")</f>
        <v>NY 11772</v>
      </c>
      <c r="H345" s="4" t="s">
        <v>4457</v>
      </c>
      <c r="I345" s="4" t="s">
        <v>3460</v>
      </c>
      <c r="J345" s="13">
        <v>43781.870729166665</v>
      </c>
      <c r="K345" s="4" t="s">
        <v>3669</v>
      </c>
      <c r="M345" s="4">
        <f>IFERROR(FIND(",",E345),0)</f>
        <v>10</v>
      </c>
      <c r="N345" s="4">
        <f>LEN(E345)</f>
        <v>19</v>
      </c>
    </row>
    <row r="346" spans="1:14" outlineLevel="2" x14ac:dyDescent="0.3">
      <c r="A346" t="s">
        <v>5545</v>
      </c>
      <c r="B346" t="s">
        <v>873</v>
      </c>
      <c r="C346" s="1">
        <v>28810</v>
      </c>
      <c r="D346" t="s">
        <v>2547</v>
      </c>
      <c r="E346" t="s">
        <v>2548</v>
      </c>
      <c r="F346" t="str">
        <f>IF(separador &gt; 0, LEFT(E346,separador - 1), E346)</f>
        <v>Elmont</v>
      </c>
      <c r="G346" t="str">
        <f>IF(separador &gt; 0, RIGHT(E346,largo -separador - 1),"-")</f>
        <v>NY 11003</v>
      </c>
      <c r="H346" t="s">
        <v>4541</v>
      </c>
      <c r="I346" t="s">
        <v>3543</v>
      </c>
      <c r="J346" s="2">
        <v>44203.776192129626</v>
      </c>
      <c r="K346" t="s">
        <v>3669</v>
      </c>
      <c r="M346">
        <f>IFERROR(FIND(",",E346),0)</f>
        <v>7</v>
      </c>
      <c r="N346">
        <f>LEN(E346)</f>
        <v>16</v>
      </c>
    </row>
    <row r="347" spans="1:14" outlineLevel="2" x14ac:dyDescent="0.3">
      <c r="A347" s="4" t="s">
        <v>5671</v>
      </c>
      <c r="B347" s="4" t="s">
        <v>999</v>
      </c>
      <c r="C347" s="12">
        <v>28772</v>
      </c>
      <c r="D347" s="4" t="s">
        <v>2686</v>
      </c>
      <c r="E347" s="4" t="s">
        <v>2538</v>
      </c>
      <c r="F347" s="4" t="str">
        <f>IF(separador &gt; 0, LEFT(E347,separador - 1), E347)</f>
        <v>Auburn</v>
      </c>
      <c r="G347" s="4" t="str">
        <f>IF(separador &gt; 0, RIGHT(E347,largo -separador - 1),"-")</f>
        <v>NY 13021</v>
      </c>
      <c r="H347" s="4" t="s">
        <v>4667</v>
      </c>
      <c r="I347" s="4" t="s">
        <v>3663</v>
      </c>
      <c r="J347" s="13">
        <v>40272.879976851851</v>
      </c>
      <c r="K347" s="4" t="s">
        <v>3669</v>
      </c>
      <c r="M347" s="4">
        <f>IFERROR(FIND(",",E347),0)</f>
        <v>7</v>
      </c>
      <c r="N347" s="4">
        <f>LEN(E347)</f>
        <v>16</v>
      </c>
    </row>
    <row r="348" spans="1:14" outlineLevel="2" x14ac:dyDescent="0.3">
      <c r="A348" t="s">
        <v>4796</v>
      </c>
      <c r="B348" t="s">
        <v>124</v>
      </c>
      <c r="C348" s="1">
        <v>28705</v>
      </c>
      <c r="D348" t="s">
        <v>1242</v>
      </c>
      <c r="E348" t="s">
        <v>1243</v>
      </c>
      <c r="F348" t="str">
        <f>IF(separador &gt; 0, LEFT(E348,separador - 1), E348)</f>
        <v>Watsonville</v>
      </c>
      <c r="G348" t="str">
        <f>IF(separador &gt; 0, RIGHT(E348,largo -separador - 1),"-")</f>
        <v>CA 95076</v>
      </c>
      <c r="H348" t="s">
        <v>3792</v>
      </c>
      <c r="I348" t="s">
        <v>2810</v>
      </c>
      <c r="J348" s="2">
        <v>40969.213125000002</v>
      </c>
      <c r="K348" t="s">
        <v>3669</v>
      </c>
      <c r="M348">
        <f>IFERROR(FIND(",",E348),0)</f>
        <v>12</v>
      </c>
      <c r="N348">
        <f>LEN(E348)</f>
        <v>21</v>
      </c>
    </row>
    <row r="349" spans="1:14" outlineLevel="2" x14ac:dyDescent="0.3">
      <c r="A349" s="4" t="s">
        <v>5648</v>
      </c>
      <c r="B349" s="4" t="s">
        <v>976</v>
      </c>
      <c r="C349" s="12">
        <v>28675</v>
      </c>
      <c r="D349" s="4" t="s">
        <v>2663</v>
      </c>
      <c r="E349" s="4" t="s">
        <v>2362</v>
      </c>
      <c r="F349" s="4" t="str">
        <f>IF(separador &gt; 0, LEFT(E349,separador - 1), E349)</f>
        <v>Bronx</v>
      </c>
      <c r="G349" s="4" t="str">
        <f>IF(separador &gt; 0, RIGHT(E349,largo -separador - 1),"-")</f>
        <v>NY 10452</v>
      </c>
      <c r="H349" s="4" t="s">
        <v>4644</v>
      </c>
      <c r="I349" s="4" t="s">
        <v>3642</v>
      </c>
      <c r="J349" s="13">
        <v>39912.123726851853</v>
      </c>
      <c r="K349" s="4" t="s">
        <v>3669</v>
      </c>
      <c r="M349" s="4">
        <f>IFERROR(FIND(",",E349),0)</f>
        <v>6</v>
      </c>
      <c r="N349" s="4">
        <f>LEN(E349)</f>
        <v>15</v>
      </c>
    </row>
    <row r="350" spans="1:14" outlineLevel="2" x14ac:dyDescent="0.3">
      <c r="A350" t="s">
        <v>5471</v>
      </c>
      <c r="B350" t="s">
        <v>799</v>
      </c>
      <c r="C350" s="1">
        <v>28639</v>
      </c>
      <c r="D350" t="s">
        <v>2400</v>
      </c>
      <c r="E350" t="s">
        <v>2401</v>
      </c>
      <c r="F350" t="str">
        <f>IF(separador &gt; 0, LEFT(E350,separador - 1), E350)</f>
        <v>Brooklyn</v>
      </c>
      <c r="G350" t="str">
        <f>IF(separador &gt; 0, RIGHT(E350,largo -separador - 1),"-")</f>
        <v>NY 11224</v>
      </c>
      <c r="H350" t="s">
        <v>4467</v>
      </c>
      <c r="I350" t="s">
        <v>3470</v>
      </c>
      <c r="J350" s="2">
        <v>39470.547118055554</v>
      </c>
      <c r="K350" t="s">
        <v>3669</v>
      </c>
      <c r="M350">
        <f>IFERROR(FIND(",",E350),0)</f>
        <v>9</v>
      </c>
      <c r="N350">
        <f>LEN(E350)</f>
        <v>18</v>
      </c>
    </row>
    <row r="351" spans="1:14" outlineLevel="2" x14ac:dyDescent="0.3">
      <c r="A351" s="4" t="s">
        <v>5010</v>
      </c>
      <c r="B351" s="4" t="s">
        <v>338</v>
      </c>
      <c r="C351" s="12">
        <v>28616</v>
      </c>
      <c r="D351" s="4" t="s">
        <v>1670</v>
      </c>
      <c r="E351" s="4" t="s">
        <v>1671</v>
      </c>
      <c r="F351" s="4" t="str">
        <f>IF(separador &gt; 0, LEFT(E351,separador - 1), E351)</f>
        <v>9315 Arcadia St.</v>
      </c>
      <c r="G351" s="4" t="str">
        <f>IF(separador &gt; 0, RIGHT(E351,largo -separador - 1),"-")</f>
        <v>-</v>
      </c>
      <c r="H351" s="4" t="s">
        <v>4006</v>
      </c>
      <c r="I351" s="4" t="s">
        <v>3020</v>
      </c>
      <c r="J351" s="13">
        <v>40011.492523148147</v>
      </c>
      <c r="K351" s="4" t="s">
        <v>3669</v>
      </c>
      <c r="M351" s="4">
        <f>IFERROR(FIND(",",E351),0)</f>
        <v>0</v>
      </c>
      <c r="N351" s="4">
        <f>LEN(E351)</f>
        <v>16</v>
      </c>
    </row>
    <row r="352" spans="1:14" outlineLevel="2" x14ac:dyDescent="0.3">
      <c r="A352" t="s">
        <v>4910</v>
      </c>
      <c r="B352" t="s">
        <v>238</v>
      </c>
      <c r="C352" s="1">
        <v>28593</v>
      </c>
      <c r="D352" t="s">
        <v>1470</v>
      </c>
      <c r="E352" t="s">
        <v>1471</v>
      </c>
      <c r="F352" t="str">
        <f>IF(separador &gt; 0, LEFT(E352,separador - 1), E352)</f>
        <v>9562 South Forest Drive</v>
      </c>
      <c r="G352" t="str">
        <f>IF(separador &gt; 0, RIGHT(E352,largo -separador - 1),"-")</f>
        <v>-</v>
      </c>
      <c r="H352" t="s">
        <v>3906</v>
      </c>
      <c r="I352" t="s">
        <v>2921</v>
      </c>
      <c r="J352" s="2">
        <v>42913.422662037039</v>
      </c>
      <c r="K352" t="s">
        <v>3669</v>
      </c>
      <c r="M352">
        <f>IFERROR(FIND(",",E352),0)</f>
        <v>0</v>
      </c>
      <c r="N352">
        <f>LEN(E352)</f>
        <v>23</v>
      </c>
    </row>
    <row r="353" spans="1:14" outlineLevel="2" x14ac:dyDescent="0.3">
      <c r="A353" s="4" t="s">
        <v>5516</v>
      </c>
      <c r="B353" s="4" t="s">
        <v>844</v>
      </c>
      <c r="C353" s="12">
        <v>28387</v>
      </c>
      <c r="D353" s="4" t="s">
        <v>2489</v>
      </c>
      <c r="E353" s="4" t="s">
        <v>2490</v>
      </c>
      <c r="F353" s="4" t="str">
        <f>IF(separador &gt; 0, LEFT(E353,separador - 1), E353)</f>
        <v>New York</v>
      </c>
      <c r="G353" s="4" t="str">
        <f>IF(separador &gt; 0, RIGHT(E353,largo -separador - 1),"-")</f>
        <v>NY 10009</v>
      </c>
      <c r="H353" s="4" t="s">
        <v>4512</v>
      </c>
      <c r="I353" s="4" t="s">
        <v>3515</v>
      </c>
      <c r="J353" s="13">
        <v>43388.995474537034</v>
      </c>
      <c r="K353" s="4" t="s">
        <v>3669</v>
      </c>
      <c r="M353" s="4">
        <f>IFERROR(FIND(",",E353),0)</f>
        <v>9</v>
      </c>
      <c r="N353" s="4">
        <f>LEN(E353)</f>
        <v>18</v>
      </c>
    </row>
    <row r="354" spans="1:14" outlineLevel="2" x14ac:dyDescent="0.3">
      <c r="A354" t="s">
        <v>4987</v>
      </c>
      <c r="B354" t="s">
        <v>315</v>
      </c>
      <c r="C354" s="1">
        <v>28386</v>
      </c>
      <c r="D354" t="s">
        <v>1624</v>
      </c>
      <c r="E354" t="s">
        <v>1625</v>
      </c>
      <c r="F354" t="str">
        <f>IF(separador &gt; 0, LEFT(E354,separador - 1), E354)</f>
        <v>490 Lantern Street</v>
      </c>
      <c r="G354" t="str">
        <f>IF(separador &gt; 0, RIGHT(E354,largo -separador - 1),"-")</f>
        <v>-</v>
      </c>
      <c r="H354" t="s">
        <v>3983</v>
      </c>
      <c r="I354" t="s">
        <v>2997</v>
      </c>
      <c r="J354" s="2">
        <v>40356.706319444442</v>
      </c>
      <c r="K354" t="s">
        <v>3669</v>
      </c>
      <c r="M354">
        <f>IFERROR(FIND(",",E354),0)</f>
        <v>0</v>
      </c>
      <c r="N354">
        <f>LEN(E354)</f>
        <v>18</v>
      </c>
    </row>
    <row r="355" spans="1:14" outlineLevel="2" x14ac:dyDescent="0.3">
      <c r="A355" s="4" t="s">
        <v>5028</v>
      </c>
      <c r="B355" s="4" t="s">
        <v>356</v>
      </c>
      <c r="C355" s="12">
        <v>28237</v>
      </c>
      <c r="D355" s="4" t="s">
        <v>1706</v>
      </c>
      <c r="E355" s="4" t="s">
        <v>1707</v>
      </c>
      <c r="F355" s="4" t="str">
        <f>IF(separador &gt; 0, LEFT(E355,separador - 1), E355)</f>
        <v>691 Baker Rd.</v>
      </c>
      <c r="G355" s="4" t="str">
        <f>IF(separador &gt; 0, RIGHT(E355,largo -separador - 1),"-")</f>
        <v>-</v>
      </c>
      <c r="H355" s="4" t="s">
        <v>4024</v>
      </c>
      <c r="I355" s="4" t="s">
        <v>3038</v>
      </c>
      <c r="J355" s="13">
        <v>40867.765462962961</v>
      </c>
      <c r="K355" s="4" t="s">
        <v>3669</v>
      </c>
      <c r="M355" s="4">
        <f>IFERROR(FIND(",",E355),0)</f>
        <v>0</v>
      </c>
      <c r="N355" s="4">
        <f>LEN(E355)</f>
        <v>13</v>
      </c>
    </row>
    <row r="356" spans="1:14" outlineLevel="2" x14ac:dyDescent="0.3">
      <c r="A356" t="s">
        <v>4740</v>
      </c>
      <c r="B356" t="s">
        <v>68</v>
      </c>
      <c r="C356" s="1">
        <v>28225</v>
      </c>
      <c r="D356" t="s">
        <v>1130</v>
      </c>
      <c r="E356" t="s">
        <v>1131</v>
      </c>
      <c r="F356" t="str">
        <f>IF(separador &gt; 0, LEFT(E356,separador - 1), E356)</f>
        <v>ME97 9GF</v>
      </c>
      <c r="G356" t="str">
        <f>IF(separador &gt; 0, RIGHT(E356,largo -separador - 1),"-")</f>
        <v>-</v>
      </c>
      <c r="H356" t="s">
        <v>3736</v>
      </c>
      <c r="I356" t="s">
        <v>2754</v>
      </c>
      <c r="J356" s="2">
        <v>38993.321284722224</v>
      </c>
      <c r="K356" t="s">
        <v>3669</v>
      </c>
      <c r="M356">
        <f>IFERROR(FIND(",",E356),0)</f>
        <v>0</v>
      </c>
      <c r="N356">
        <f>LEN(E356)</f>
        <v>8</v>
      </c>
    </row>
    <row r="357" spans="1:14" outlineLevel="2" x14ac:dyDescent="0.3">
      <c r="A357" s="4" t="s">
        <v>5130</v>
      </c>
      <c r="B357" s="4" t="s">
        <v>458</v>
      </c>
      <c r="C357" s="12">
        <v>28222</v>
      </c>
      <c r="D357" s="4" t="s">
        <v>1909</v>
      </c>
      <c r="E357" s="4" t="s">
        <v>1910</v>
      </c>
      <c r="F357" s="4" t="str">
        <f>IF(separador &gt; 0, LEFT(E357,separador - 1), E357)</f>
        <v>Miami</v>
      </c>
      <c r="G357" s="4" t="str">
        <f>IF(separador &gt; 0, RIGHT(E357,largo -separador - 1),"-")</f>
        <v>FL 33174</v>
      </c>
      <c r="H357" s="4" t="s">
        <v>4126</v>
      </c>
      <c r="I357" s="4" t="s">
        <v>3139</v>
      </c>
      <c r="J357" s="13">
        <v>43176.546365740738</v>
      </c>
      <c r="K357" s="4" t="s">
        <v>3669</v>
      </c>
      <c r="M357" s="4">
        <f>IFERROR(FIND(",",E357),0)</f>
        <v>6</v>
      </c>
      <c r="N357" s="4">
        <f>LEN(E357)</f>
        <v>15</v>
      </c>
    </row>
    <row r="358" spans="1:14" outlineLevel="2" x14ac:dyDescent="0.3">
      <c r="A358" t="s">
        <v>5365</v>
      </c>
      <c r="B358" t="s">
        <v>693</v>
      </c>
      <c r="C358" s="1">
        <v>28197</v>
      </c>
      <c r="D358" t="s">
        <v>2239</v>
      </c>
      <c r="E358" t="s">
        <v>1960</v>
      </c>
      <c r="F358" t="str">
        <f>IF(separador &gt; 0, LEFT(E358,separador - 1), E358)</f>
        <v>London</v>
      </c>
      <c r="G358" t="str">
        <f>IF(separador &gt; 0, RIGHT(E358,largo -separador - 1),"-")</f>
        <v>-</v>
      </c>
      <c r="H358" t="s">
        <v>4361</v>
      </c>
      <c r="I358" t="s">
        <v>3369</v>
      </c>
      <c r="J358" s="2">
        <v>41824.2184837963</v>
      </c>
      <c r="K358" t="s">
        <v>3669</v>
      </c>
      <c r="M358">
        <f>IFERROR(FIND(",",E358),0)</f>
        <v>0</v>
      </c>
      <c r="N358">
        <f>LEN(E358)</f>
        <v>6</v>
      </c>
    </row>
    <row r="359" spans="1:14" outlineLevel="2" x14ac:dyDescent="0.3">
      <c r="A359" s="4" t="s">
        <v>5646</v>
      </c>
      <c r="B359" s="4" t="s">
        <v>974</v>
      </c>
      <c r="C359" s="12">
        <v>28194</v>
      </c>
      <c r="D359" s="4" t="s">
        <v>2661</v>
      </c>
      <c r="E359" s="4" t="s">
        <v>2490</v>
      </c>
      <c r="F359" s="4" t="str">
        <f>IF(separador &gt; 0, LEFT(E359,separador - 1), E359)</f>
        <v>New York</v>
      </c>
      <c r="G359" s="4" t="str">
        <f>IF(separador &gt; 0, RIGHT(E359,largo -separador - 1),"-")</f>
        <v>NY 10009</v>
      </c>
      <c r="H359" s="4" t="s">
        <v>4642</v>
      </c>
      <c r="I359" s="4" t="s">
        <v>3640</v>
      </c>
      <c r="J359" s="13">
        <v>38501.865891203706</v>
      </c>
      <c r="K359" s="4" t="s">
        <v>3669</v>
      </c>
      <c r="M359" s="4">
        <f>IFERROR(FIND(",",E359),0)</f>
        <v>9</v>
      </c>
      <c r="N359" s="4">
        <f>LEN(E359)</f>
        <v>18</v>
      </c>
    </row>
    <row r="360" spans="1:14" outlineLevel="2" x14ac:dyDescent="0.3">
      <c r="A360" t="s">
        <v>5279</v>
      </c>
      <c r="B360" t="s">
        <v>607</v>
      </c>
      <c r="C360" s="1">
        <v>28132</v>
      </c>
      <c r="D360" t="s">
        <v>2124</v>
      </c>
      <c r="E360" t="s">
        <v>2125</v>
      </c>
      <c r="F360" t="str">
        <f>IF(separador &gt; 0, LEFT(E360,separador - 1), E360)</f>
        <v>580 Broadway</v>
      </c>
      <c r="G360" t="str">
        <f>IF(separador &gt; 0, RIGHT(E360,largo -separador - 1),"-")</f>
        <v>-</v>
      </c>
      <c r="H360" t="s">
        <v>4275</v>
      </c>
      <c r="I360" t="s">
        <v>3285</v>
      </c>
      <c r="J360" s="2">
        <v>39005.619699074072</v>
      </c>
      <c r="K360" t="s">
        <v>3669</v>
      </c>
      <c r="M360">
        <f>IFERROR(FIND(",",E360),0)</f>
        <v>0</v>
      </c>
      <c r="N360">
        <f>LEN(E360)</f>
        <v>12</v>
      </c>
    </row>
    <row r="361" spans="1:14" outlineLevel="2" x14ac:dyDescent="0.3">
      <c r="A361" s="4" t="s">
        <v>5633</v>
      </c>
      <c r="B361" s="4" t="s">
        <v>961</v>
      </c>
      <c r="C361" s="12">
        <v>28132</v>
      </c>
      <c r="D361" s="4" t="s">
        <v>2648</v>
      </c>
      <c r="E361" s="4" t="s">
        <v>1015</v>
      </c>
      <c r="F361" s="4" t="str">
        <f>IF(separador &gt; 0, LEFT(E361,separador - 1), E361)</f>
        <v>Poughkeepsie</v>
      </c>
      <c r="G361" s="4" t="str">
        <f>IF(separador &gt; 0, RIGHT(E361,largo -separador - 1),"-")</f>
        <v>NY 12601</v>
      </c>
      <c r="H361" s="4" t="s">
        <v>4629</v>
      </c>
      <c r="I361" s="4" t="s">
        <v>3629</v>
      </c>
      <c r="J361" s="13">
        <v>39049.485243055555</v>
      </c>
      <c r="K361" s="4" t="s">
        <v>3669</v>
      </c>
      <c r="M361" s="4">
        <f>IFERROR(FIND(",",E361),0)</f>
        <v>13</v>
      </c>
      <c r="N361" s="4">
        <f>LEN(E361)</f>
        <v>22</v>
      </c>
    </row>
    <row r="362" spans="1:14" outlineLevel="2" x14ac:dyDescent="0.3">
      <c r="A362" t="s">
        <v>4988</v>
      </c>
      <c r="B362" t="s">
        <v>316</v>
      </c>
      <c r="C362" s="1">
        <v>28130</v>
      </c>
      <c r="D362" t="s">
        <v>1626</v>
      </c>
      <c r="E362" t="s">
        <v>1627</v>
      </c>
      <c r="F362" t="str">
        <f>IF(separador &gt; 0, LEFT(E362,separador - 1), E362)</f>
        <v>8158 S. Marvon Ave.</v>
      </c>
      <c r="G362" t="str">
        <f>IF(separador &gt; 0, RIGHT(E362,largo -separador - 1),"-")</f>
        <v>-</v>
      </c>
      <c r="H362" t="s">
        <v>3984</v>
      </c>
      <c r="I362" t="s">
        <v>2998</v>
      </c>
      <c r="J362" s="2">
        <v>40805.056932870371</v>
      </c>
      <c r="K362" t="s">
        <v>3669</v>
      </c>
      <c r="M362">
        <f>IFERROR(FIND(",",E362),0)</f>
        <v>0</v>
      </c>
      <c r="N362">
        <f>LEN(E362)</f>
        <v>19</v>
      </c>
    </row>
    <row r="363" spans="1:14" outlineLevel="2" x14ac:dyDescent="0.3">
      <c r="A363" s="4" t="s">
        <v>5291</v>
      </c>
      <c r="B363" s="4" t="s">
        <v>619</v>
      </c>
      <c r="C363" s="12">
        <v>27932</v>
      </c>
      <c r="D363" s="4" t="s">
        <v>2140</v>
      </c>
      <c r="E363" s="4" t="s">
        <v>2141</v>
      </c>
      <c r="F363" s="4" t="str">
        <f>IF(separador &gt; 0, LEFT(E363,separador - 1), E363)</f>
        <v>859 George Street</v>
      </c>
      <c r="G363" s="4" t="str">
        <f>IF(separador &gt; 0, RIGHT(E363,largo -separador - 1),"-")</f>
        <v>-</v>
      </c>
      <c r="H363" s="4" t="s">
        <v>4287</v>
      </c>
      <c r="I363" s="4" t="s">
        <v>3297</v>
      </c>
      <c r="J363" s="13">
        <v>39783.514270833337</v>
      </c>
      <c r="K363" s="4" t="s">
        <v>3669</v>
      </c>
      <c r="M363" s="4">
        <f>IFERROR(FIND(",",E363),0)</f>
        <v>0</v>
      </c>
      <c r="N363" s="4">
        <f>LEN(E363)</f>
        <v>17</v>
      </c>
    </row>
    <row r="364" spans="1:14" outlineLevel="2" x14ac:dyDescent="0.3">
      <c r="A364" t="s">
        <v>5581</v>
      </c>
      <c r="B364" t="s">
        <v>909</v>
      </c>
      <c r="C364" s="1">
        <v>27861</v>
      </c>
      <c r="D364" t="s">
        <v>2596</v>
      </c>
      <c r="E364" t="s">
        <v>2488</v>
      </c>
      <c r="F364" t="str">
        <f>IF(separador &gt; 0, LEFT(E364,separador - 1), E364)</f>
        <v>Tonawanda</v>
      </c>
      <c r="G364" t="str">
        <f>IF(separador &gt; 0, RIGHT(E364,largo -separador - 1),"-")</f>
        <v>NY 14150</v>
      </c>
      <c r="H364" t="s">
        <v>4577</v>
      </c>
      <c r="I364" t="s">
        <v>3579</v>
      </c>
      <c r="J364" s="2">
        <v>38692.368009259262</v>
      </c>
      <c r="K364" t="s">
        <v>3669</v>
      </c>
      <c r="M364">
        <f>IFERROR(FIND(",",E364),0)</f>
        <v>10</v>
      </c>
      <c r="N364">
        <f>LEN(E364)</f>
        <v>19</v>
      </c>
    </row>
    <row r="365" spans="1:14" outlineLevel="2" x14ac:dyDescent="0.3">
      <c r="A365" s="4" t="s">
        <v>5076</v>
      </c>
      <c r="B365" s="4" t="s">
        <v>404</v>
      </c>
      <c r="C365" s="12">
        <v>27742</v>
      </c>
      <c r="D365" s="4" t="s">
        <v>1802</v>
      </c>
      <c r="E365" s="4" t="s">
        <v>1803</v>
      </c>
      <c r="F365" s="4" t="str">
        <f>IF(separador &gt; 0, LEFT(E365,separador - 1), E365)</f>
        <v>9973 Armstrong St.</v>
      </c>
      <c r="G365" s="4" t="str">
        <f>IF(separador &gt; 0, RIGHT(E365,largo -separador - 1),"-")</f>
        <v>-</v>
      </c>
      <c r="H365" s="4" t="s">
        <v>4072</v>
      </c>
      <c r="I365" s="4" t="s">
        <v>3086</v>
      </c>
      <c r="J365" s="13">
        <v>39250.861481481479</v>
      </c>
      <c r="K365" s="4" t="s">
        <v>3669</v>
      </c>
      <c r="M365" s="4">
        <f>IFERROR(FIND(",",E365),0)</f>
        <v>0</v>
      </c>
      <c r="N365" s="4">
        <f>LEN(E365)</f>
        <v>18</v>
      </c>
    </row>
    <row r="366" spans="1:14" outlineLevel="2" x14ac:dyDescent="0.3">
      <c r="A366" t="s">
        <v>5515</v>
      </c>
      <c r="B366" t="s">
        <v>843</v>
      </c>
      <c r="C366" s="1">
        <v>27727</v>
      </c>
      <c r="D366" t="s">
        <v>2487</v>
      </c>
      <c r="E366" t="s">
        <v>2488</v>
      </c>
      <c r="F366" t="str">
        <f>IF(separador &gt; 0, LEFT(E366,separador - 1), E366)</f>
        <v>Tonawanda</v>
      </c>
      <c r="G366" t="str">
        <f>IF(separador &gt; 0, RIGHT(E366,largo -separador - 1),"-")</f>
        <v>NY 14150</v>
      </c>
      <c r="H366" t="s">
        <v>4511</v>
      </c>
      <c r="I366" t="s">
        <v>3514</v>
      </c>
      <c r="J366" s="2">
        <v>42081.129780092589</v>
      </c>
      <c r="K366" t="s">
        <v>3669</v>
      </c>
      <c r="M366">
        <f>IFERROR(FIND(",",E366),0)</f>
        <v>10</v>
      </c>
      <c r="N366">
        <f>LEN(E366)</f>
        <v>19</v>
      </c>
    </row>
    <row r="367" spans="1:14" outlineLevel="2" x14ac:dyDescent="0.3">
      <c r="A367" s="4" t="s">
        <v>4893</v>
      </c>
      <c r="B367" s="4" t="s">
        <v>221</v>
      </c>
      <c r="C367" s="12">
        <v>27650</v>
      </c>
      <c r="D367" s="4" t="s">
        <v>1436</v>
      </c>
      <c r="E367" s="4" t="s">
        <v>1437</v>
      </c>
      <c r="F367" s="4" t="str">
        <f>IF(separador &gt; 0, LEFT(E367,separador - 1), E367)</f>
        <v>900 Charles Lane</v>
      </c>
      <c r="G367" s="4" t="str">
        <f>IF(separador &gt; 0, RIGHT(E367,largo -separador - 1),"-")</f>
        <v>-</v>
      </c>
      <c r="H367" s="4" t="s">
        <v>3889</v>
      </c>
      <c r="I367" s="4" t="s">
        <v>2904</v>
      </c>
      <c r="J367" s="13">
        <v>41392.874699074076</v>
      </c>
      <c r="K367" s="4" t="s">
        <v>3669</v>
      </c>
      <c r="M367" s="4">
        <f>IFERROR(FIND(",",E367),0)</f>
        <v>0</v>
      </c>
      <c r="N367" s="4">
        <f>LEN(E367)</f>
        <v>16</v>
      </c>
    </row>
    <row r="368" spans="1:14" outlineLevel="2" x14ac:dyDescent="0.3">
      <c r="A368" t="s">
        <v>5248</v>
      </c>
      <c r="B368" t="s">
        <v>576</v>
      </c>
      <c r="C368" s="1">
        <v>27503</v>
      </c>
      <c r="D368" t="s">
        <v>2083</v>
      </c>
      <c r="E368" t="s">
        <v>1960</v>
      </c>
      <c r="F368" t="str">
        <f>IF(separador &gt; 0, LEFT(E368,separador - 1), E368)</f>
        <v>London</v>
      </c>
      <c r="G368" t="str">
        <f>IF(separador &gt; 0, RIGHT(E368,largo -separador - 1),"-")</f>
        <v>-</v>
      </c>
      <c r="H368" t="s">
        <v>4244</v>
      </c>
      <c r="I368" t="s">
        <v>3255</v>
      </c>
      <c r="J368" s="2">
        <v>40485.733506944445</v>
      </c>
      <c r="K368" t="s">
        <v>3669</v>
      </c>
      <c r="M368">
        <f>IFERROR(FIND(",",E368),0)</f>
        <v>0</v>
      </c>
      <c r="N368">
        <f>LEN(E368)</f>
        <v>6</v>
      </c>
    </row>
    <row r="369" spans="1:14" outlineLevel="2" x14ac:dyDescent="0.3">
      <c r="A369" s="4" t="s">
        <v>5647</v>
      </c>
      <c r="B369" s="4" t="s">
        <v>975</v>
      </c>
      <c r="C369" s="12">
        <v>27488</v>
      </c>
      <c r="D369" s="4" t="s">
        <v>2662</v>
      </c>
      <c r="E369" s="4" t="s">
        <v>2484</v>
      </c>
      <c r="F369" s="4" t="str">
        <f>IF(separador &gt; 0, LEFT(E369,separador - 1), E369)</f>
        <v>Huntington</v>
      </c>
      <c r="G369" s="4" t="str">
        <f>IF(separador &gt; 0, RIGHT(E369,largo -separador - 1),"-")</f>
        <v>NY 11743</v>
      </c>
      <c r="H369" s="4" t="s">
        <v>4643</v>
      </c>
      <c r="I369" s="4" t="s">
        <v>3641</v>
      </c>
      <c r="J369" s="13">
        <v>43338.960613425923</v>
      </c>
      <c r="K369" s="4" t="s">
        <v>3669</v>
      </c>
      <c r="M369" s="4">
        <f>IFERROR(FIND(",",E369),0)</f>
        <v>11</v>
      </c>
      <c r="N369" s="4">
        <f>LEN(E369)</f>
        <v>20</v>
      </c>
    </row>
    <row r="370" spans="1:14" outlineLevel="2" x14ac:dyDescent="0.3">
      <c r="A370" t="s">
        <v>5328</v>
      </c>
      <c r="B370" t="s">
        <v>656</v>
      </c>
      <c r="C370" s="1">
        <v>27479</v>
      </c>
      <c r="D370" t="s">
        <v>1960</v>
      </c>
      <c r="E370" t="s">
        <v>2190</v>
      </c>
      <c r="F370" t="str">
        <f>IF(separador &gt; 0, LEFT(E370,separador - 1), E370)</f>
        <v>EC32 7ZT</v>
      </c>
      <c r="G370" t="str">
        <f>IF(separador &gt; 0, RIGHT(E370,largo -separador - 1),"-")</f>
        <v>-</v>
      </c>
      <c r="H370" t="s">
        <v>4324</v>
      </c>
      <c r="I370" t="s">
        <v>3333</v>
      </c>
      <c r="J370" s="2">
        <v>43853.830312500002</v>
      </c>
      <c r="K370" t="s">
        <v>3669</v>
      </c>
      <c r="M370">
        <f>IFERROR(FIND(",",E370),0)</f>
        <v>0</v>
      </c>
      <c r="N370">
        <f>LEN(E370)</f>
        <v>8</v>
      </c>
    </row>
    <row r="371" spans="1:14" outlineLevel="2" x14ac:dyDescent="0.3">
      <c r="A371" s="4" t="s">
        <v>5061</v>
      </c>
      <c r="B371" s="4" t="s">
        <v>389</v>
      </c>
      <c r="C371" s="12">
        <v>27437</v>
      </c>
      <c r="D371" s="4" t="s">
        <v>1772</v>
      </c>
      <c r="E371" s="4" t="s">
        <v>1773</v>
      </c>
      <c r="F371" s="4" t="str">
        <f>IF(separador &gt; 0, LEFT(E371,separador - 1), E371)</f>
        <v>848 Lees Creek Ave.</v>
      </c>
      <c r="G371" s="4" t="str">
        <f>IF(separador &gt; 0, RIGHT(E371,largo -separador - 1),"-")</f>
        <v>-</v>
      </c>
      <c r="H371" s="4" t="s">
        <v>4057</v>
      </c>
      <c r="I371" s="4" t="s">
        <v>3071</v>
      </c>
      <c r="J371" s="13">
        <v>39666.270844907405</v>
      </c>
      <c r="K371" s="4" t="s">
        <v>3669</v>
      </c>
      <c r="M371" s="4">
        <f>IFERROR(FIND(",",E371),0)</f>
        <v>0</v>
      </c>
      <c r="N371" s="4">
        <f>LEN(E371)</f>
        <v>19</v>
      </c>
    </row>
    <row r="372" spans="1:14" outlineLevel="2" x14ac:dyDescent="0.3">
      <c r="A372" t="s">
        <v>4954</v>
      </c>
      <c r="B372" t="s">
        <v>282</v>
      </c>
      <c r="C372" s="1">
        <v>27431</v>
      </c>
      <c r="D372" t="s">
        <v>1558</v>
      </c>
      <c r="E372" t="s">
        <v>1559</v>
      </c>
      <c r="F372" t="str">
        <f>IF(separador &gt; 0, LEFT(E372,separador - 1), E372)</f>
        <v>329 Carpenter Court</v>
      </c>
      <c r="G372" t="str">
        <f>IF(separador &gt; 0, RIGHT(E372,largo -separador - 1),"-")</f>
        <v>-</v>
      </c>
      <c r="H372" t="s">
        <v>3950</v>
      </c>
      <c r="I372" t="s">
        <v>2965</v>
      </c>
      <c r="J372" s="2">
        <v>41759.785671296297</v>
      </c>
      <c r="K372" t="s">
        <v>3669</v>
      </c>
      <c r="M372">
        <f>IFERROR(FIND(",",E372),0)</f>
        <v>0</v>
      </c>
      <c r="N372">
        <f>LEN(E372)</f>
        <v>19</v>
      </c>
    </row>
    <row r="373" spans="1:14" outlineLevel="2" x14ac:dyDescent="0.3">
      <c r="A373" s="4" t="s">
        <v>5533</v>
      </c>
      <c r="B373" s="4" t="s">
        <v>861</v>
      </c>
      <c r="C373" s="12">
        <v>27421</v>
      </c>
      <c r="D373" s="4" t="s">
        <v>2523</v>
      </c>
      <c r="E373" s="4" t="s">
        <v>2524</v>
      </c>
      <c r="F373" s="4" t="str">
        <f>IF(separador &gt; 0, LEFT(E373,separador - 1), E373)</f>
        <v>Brooklyn</v>
      </c>
      <c r="G373" s="4" t="str">
        <f>IF(separador &gt; 0, RIGHT(E373,largo -separador - 1),"-")</f>
        <v>NY 11234</v>
      </c>
      <c r="H373" s="4" t="s">
        <v>4529</v>
      </c>
      <c r="I373" s="4" t="s">
        <v>3531</v>
      </c>
      <c r="J373" s="13">
        <v>40755.063148148147</v>
      </c>
      <c r="K373" s="4" t="s">
        <v>3669</v>
      </c>
      <c r="M373" s="4">
        <f>IFERROR(FIND(",",E373),0)</f>
        <v>9</v>
      </c>
      <c r="N373" s="4">
        <f>LEN(E373)</f>
        <v>18</v>
      </c>
    </row>
    <row r="374" spans="1:14" outlineLevel="2" x14ac:dyDescent="0.3">
      <c r="A374" t="s">
        <v>5246</v>
      </c>
      <c r="B374" t="s">
        <v>574</v>
      </c>
      <c r="C374" s="1">
        <v>27399</v>
      </c>
      <c r="D374" t="s">
        <v>2080</v>
      </c>
      <c r="E374" t="s">
        <v>2081</v>
      </c>
      <c r="F374" t="str">
        <f>IF(separador &gt; 0, LEFT(E374,separador - 1), E374)</f>
        <v>89 West Street</v>
      </c>
      <c r="G374" t="str">
        <f>IF(separador &gt; 0, RIGHT(E374,largo -separador - 1),"-")</f>
        <v>-</v>
      </c>
      <c r="H374" t="s">
        <v>4242</v>
      </c>
      <c r="I374" t="s">
        <v>3254</v>
      </c>
      <c r="J374" s="2">
        <v>40233.646377314813</v>
      </c>
      <c r="K374" t="s">
        <v>3669</v>
      </c>
      <c r="M374">
        <f>IFERROR(FIND(",",E374),0)</f>
        <v>0</v>
      </c>
      <c r="N374">
        <f>LEN(E374)</f>
        <v>14</v>
      </c>
    </row>
    <row r="375" spans="1:14" outlineLevel="2" x14ac:dyDescent="0.3">
      <c r="A375" s="4" t="s">
        <v>5424</v>
      </c>
      <c r="B375" s="4" t="s">
        <v>752</v>
      </c>
      <c r="C375" s="12">
        <v>27301</v>
      </c>
      <c r="D375" s="4" t="s">
        <v>1960</v>
      </c>
      <c r="E375" s="4" t="s">
        <v>2317</v>
      </c>
      <c r="F375" s="4" t="str">
        <f>IF(separador &gt; 0, LEFT(E375,separador - 1), E375)</f>
        <v>W10 2TN</v>
      </c>
      <c r="G375" s="4" t="str">
        <f>IF(separador &gt; 0, RIGHT(E375,largo -separador - 1),"-")</f>
        <v>-</v>
      </c>
      <c r="H375" s="4" t="s">
        <v>4420</v>
      </c>
      <c r="I375" s="4" t="s">
        <v>3426</v>
      </c>
      <c r="J375" s="13">
        <v>43421.624710648146</v>
      </c>
      <c r="K375" s="4" t="s">
        <v>3669</v>
      </c>
      <c r="M375" s="4">
        <f>IFERROR(FIND(",",E375),0)</f>
        <v>0</v>
      </c>
      <c r="N375" s="4">
        <f>LEN(E375)</f>
        <v>7</v>
      </c>
    </row>
    <row r="376" spans="1:14" outlineLevel="2" x14ac:dyDescent="0.3">
      <c r="A376" t="s">
        <v>4821</v>
      </c>
      <c r="B376" t="s">
        <v>149</v>
      </c>
      <c r="C376" s="1">
        <v>27254</v>
      </c>
      <c r="D376" t="s">
        <v>1292</v>
      </c>
      <c r="E376" t="s">
        <v>1293</v>
      </c>
      <c r="F376" t="str">
        <f>IF(separador &gt; 0, LEFT(E376,separador - 1), E376)</f>
        <v>Santa Ana</v>
      </c>
      <c r="G376" t="str">
        <f>IF(separador &gt; 0, RIGHT(E376,largo -separador - 1),"-")</f>
        <v>CA 92703</v>
      </c>
      <c r="H376" t="s">
        <v>3817</v>
      </c>
      <c r="I376" t="s">
        <v>2835</v>
      </c>
      <c r="J376" s="2">
        <v>38401.339085648149</v>
      </c>
      <c r="K376" t="s">
        <v>3669</v>
      </c>
      <c r="M376">
        <f>IFERROR(FIND(",",E376),0)</f>
        <v>10</v>
      </c>
      <c r="N376">
        <f>LEN(E376)</f>
        <v>19</v>
      </c>
    </row>
    <row r="377" spans="1:14" outlineLevel="2" x14ac:dyDescent="0.3">
      <c r="A377" s="4" t="s">
        <v>5137</v>
      </c>
      <c r="B377" s="4" t="s">
        <v>465</v>
      </c>
      <c r="C377" s="12">
        <v>27211</v>
      </c>
      <c r="D377" s="4" t="s">
        <v>1923</v>
      </c>
      <c r="E377" s="4" t="s">
        <v>1924</v>
      </c>
      <c r="F377" s="4" t="str">
        <f>IF(separador &gt; 0, LEFT(E377,separador - 1), E377)</f>
        <v>Lutz</v>
      </c>
      <c r="G377" s="4" t="str">
        <f>IF(separador &gt; 0, RIGHT(E377,largo -separador - 1),"-")</f>
        <v>FL 33549</v>
      </c>
      <c r="H377" s="4" t="s">
        <v>4133</v>
      </c>
      <c r="I377" s="4" t="s">
        <v>3146</v>
      </c>
      <c r="J377" s="13">
        <v>42030.860405092593</v>
      </c>
      <c r="K377" s="4" t="s">
        <v>3669</v>
      </c>
      <c r="M377" s="4">
        <f>IFERROR(FIND(",",E377),0)</f>
        <v>5</v>
      </c>
      <c r="N377" s="4">
        <f>LEN(E377)</f>
        <v>14</v>
      </c>
    </row>
    <row r="378" spans="1:14" outlineLevel="2" x14ac:dyDescent="0.3">
      <c r="A378" t="s">
        <v>5227</v>
      </c>
      <c r="B378" t="s">
        <v>555</v>
      </c>
      <c r="C378" s="1">
        <v>27093</v>
      </c>
      <c r="D378" t="s">
        <v>2055</v>
      </c>
      <c r="E378" t="s">
        <v>1960</v>
      </c>
      <c r="F378" t="str">
        <f>IF(separador &gt; 0, LEFT(E378,separador - 1), E378)</f>
        <v>London</v>
      </c>
      <c r="G378" t="str">
        <f>IF(separador &gt; 0, RIGHT(E378,largo -separador - 1),"-")</f>
        <v>-</v>
      </c>
      <c r="H378" t="s">
        <v>4223</v>
      </c>
      <c r="I378" t="s">
        <v>3235</v>
      </c>
      <c r="J378" s="2">
        <v>43194.756111111114</v>
      </c>
      <c r="K378" t="s">
        <v>3669</v>
      </c>
      <c r="M378">
        <f>IFERROR(FIND(",",E378),0)</f>
        <v>0</v>
      </c>
      <c r="N378">
        <f>LEN(E378)</f>
        <v>6</v>
      </c>
    </row>
    <row r="379" spans="1:14" outlineLevel="2" x14ac:dyDescent="0.3">
      <c r="A379" s="4" t="s">
        <v>4755</v>
      </c>
      <c r="B379" s="4" t="s">
        <v>83</v>
      </c>
      <c r="C379" s="12">
        <v>27063</v>
      </c>
      <c r="D379" s="4" t="s">
        <v>1160</v>
      </c>
      <c r="E379" s="4" t="s">
        <v>1161</v>
      </c>
      <c r="F379" s="4" t="str">
        <f>IF(separador &gt; 0, LEFT(E379,separador - 1), E379)</f>
        <v>S39 0KU</v>
      </c>
      <c r="G379" s="4" t="str">
        <f>IF(separador &gt; 0, RIGHT(E379,largo -separador - 1),"-")</f>
        <v>-</v>
      </c>
      <c r="H379" s="4" t="s">
        <v>3751</v>
      </c>
      <c r="I379" s="4" t="s">
        <v>2769</v>
      </c>
      <c r="J379" s="13">
        <v>44185.448807870373</v>
      </c>
      <c r="K379" s="4" t="s">
        <v>3669</v>
      </c>
      <c r="M379" s="4">
        <f>IFERROR(FIND(",",E379),0)</f>
        <v>0</v>
      </c>
      <c r="N379" s="4">
        <f>LEN(E379)</f>
        <v>7</v>
      </c>
    </row>
    <row r="380" spans="1:14" outlineLevel="2" x14ac:dyDescent="0.3">
      <c r="A380" t="s">
        <v>5667</v>
      </c>
      <c r="B380" t="s">
        <v>995</v>
      </c>
      <c r="C380" s="1">
        <v>27042</v>
      </c>
      <c r="D380" t="s">
        <v>2682</v>
      </c>
      <c r="E380" t="s">
        <v>2407</v>
      </c>
      <c r="F380" t="str">
        <f>IF(separador &gt; 0, LEFT(E380,separador - 1), E380)</f>
        <v>Endicott</v>
      </c>
      <c r="G380" t="str">
        <f>IF(separador &gt; 0, RIGHT(E380,largo -separador - 1),"-")</f>
        <v>NY 13760</v>
      </c>
      <c r="H380" t="s">
        <v>4663</v>
      </c>
      <c r="I380" t="s">
        <v>3659</v>
      </c>
      <c r="J380" s="2">
        <v>40820.272743055553</v>
      </c>
      <c r="K380" t="s">
        <v>3669</v>
      </c>
      <c r="M380">
        <f>IFERROR(FIND(",",E380),0)</f>
        <v>9</v>
      </c>
      <c r="N380">
        <f>LEN(E380)</f>
        <v>18</v>
      </c>
    </row>
    <row r="381" spans="1:14" outlineLevel="2" x14ac:dyDescent="0.3">
      <c r="A381" s="4" t="s">
        <v>5296</v>
      </c>
      <c r="B381" s="4" t="s">
        <v>624</v>
      </c>
      <c r="C381" s="12">
        <v>26991</v>
      </c>
      <c r="D381" s="4" t="s">
        <v>2147</v>
      </c>
      <c r="E381" s="4" t="s">
        <v>1960</v>
      </c>
      <c r="F381" s="4" t="str">
        <f>IF(separador &gt; 0, LEFT(E381,separador - 1), E381)</f>
        <v>London</v>
      </c>
      <c r="G381" s="4" t="str">
        <f>IF(separador &gt; 0, RIGHT(E381,largo -separador - 1),"-")</f>
        <v>-</v>
      </c>
      <c r="H381" s="4" t="s">
        <v>4292</v>
      </c>
      <c r="I381" s="4" t="s">
        <v>3301</v>
      </c>
      <c r="J381" s="13">
        <v>43576.3903125</v>
      </c>
      <c r="K381" s="4" t="s">
        <v>3669</v>
      </c>
      <c r="M381" s="4">
        <f>IFERROR(FIND(",",E381),0)</f>
        <v>0</v>
      </c>
      <c r="N381" s="4">
        <f>LEN(E381)</f>
        <v>6</v>
      </c>
    </row>
    <row r="382" spans="1:14" outlineLevel="2" x14ac:dyDescent="0.3">
      <c r="A382" t="s">
        <v>5284</v>
      </c>
      <c r="B382" t="s">
        <v>612</v>
      </c>
      <c r="C382" s="1">
        <v>26946</v>
      </c>
      <c r="D382" t="s">
        <v>2131</v>
      </c>
      <c r="E382" t="s">
        <v>1960</v>
      </c>
      <c r="F382" t="str">
        <f>IF(separador &gt; 0, LEFT(E382,separador - 1), E382)</f>
        <v>London</v>
      </c>
      <c r="G382" t="str">
        <f>IF(separador &gt; 0, RIGHT(E382,largo -separador - 1),"-")</f>
        <v>-</v>
      </c>
      <c r="H382" t="s">
        <v>4280</v>
      </c>
      <c r="I382" t="s">
        <v>3290</v>
      </c>
      <c r="J382" s="2">
        <v>39930.420636574076</v>
      </c>
      <c r="K382" t="s">
        <v>3669</v>
      </c>
      <c r="M382">
        <f>IFERROR(FIND(",",E382),0)</f>
        <v>0</v>
      </c>
      <c r="N382">
        <f>LEN(E382)</f>
        <v>6</v>
      </c>
    </row>
    <row r="383" spans="1:14" outlineLevel="2" x14ac:dyDescent="0.3">
      <c r="A383" s="4" t="s">
        <v>5306</v>
      </c>
      <c r="B383" s="4" t="s">
        <v>634</v>
      </c>
      <c r="C383" s="12">
        <v>26871</v>
      </c>
      <c r="D383" s="4" t="s">
        <v>2160</v>
      </c>
      <c r="E383" s="4" t="s">
        <v>2161</v>
      </c>
      <c r="F383" s="4" t="str">
        <f>IF(separador &gt; 0, LEFT(E383,separador - 1), E383)</f>
        <v>92 Church Lane</v>
      </c>
      <c r="G383" s="4" t="str">
        <f>IF(separador &gt; 0, RIGHT(E383,largo -separador - 1),"-")</f>
        <v>-</v>
      </c>
      <c r="H383" s="4" t="s">
        <v>4302</v>
      </c>
      <c r="I383" s="4" t="s">
        <v>3311</v>
      </c>
      <c r="J383" s="13">
        <v>42084.867407407408</v>
      </c>
      <c r="K383" s="4" t="s">
        <v>3669</v>
      </c>
      <c r="M383" s="4">
        <f>IFERROR(FIND(",",E383),0)</f>
        <v>0</v>
      </c>
      <c r="N383" s="4">
        <f>LEN(E383)</f>
        <v>14</v>
      </c>
    </row>
    <row r="384" spans="1:14" outlineLevel="2" x14ac:dyDescent="0.3">
      <c r="A384" t="s">
        <v>5630</v>
      </c>
      <c r="B384" t="s">
        <v>958</v>
      </c>
      <c r="C384" s="1">
        <v>26863</v>
      </c>
      <c r="D384" t="s">
        <v>2645</v>
      </c>
      <c r="E384" t="s">
        <v>2516</v>
      </c>
      <c r="F384" t="str">
        <f>IF(separador &gt; 0, LEFT(E384,separador - 1), E384)</f>
        <v>New York</v>
      </c>
      <c r="G384" t="str">
        <f>IF(separador &gt; 0, RIGHT(E384,largo -separador - 1),"-")</f>
        <v>NY 10040</v>
      </c>
      <c r="H384" t="s">
        <v>4626</v>
      </c>
      <c r="I384" t="s">
        <v>3626</v>
      </c>
      <c r="J384" s="2">
        <v>43482.852916666663</v>
      </c>
      <c r="K384" t="s">
        <v>3669</v>
      </c>
      <c r="M384">
        <f>IFERROR(FIND(",",E384),0)</f>
        <v>9</v>
      </c>
      <c r="N384">
        <f>LEN(E384)</f>
        <v>18</v>
      </c>
    </row>
    <row r="385" spans="1:14" outlineLevel="2" x14ac:dyDescent="0.3">
      <c r="A385" s="4" t="s">
        <v>5468</v>
      </c>
      <c r="B385" s="4" t="s">
        <v>796</v>
      </c>
      <c r="C385" s="12">
        <v>26772</v>
      </c>
      <c r="D385" s="4" t="s">
        <v>2394</v>
      </c>
      <c r="E385" s="4" t="s">
        <v>2395</v>
      </c>
      <c r="F385" s="4" t="str">
        <f>IF(separador &gt; 0, LEFT(E385,separador - 1), E385)</f>
        <v>Brooklyn</v>
      </c>
      <c r="G385" s="4" t="str">
        <f>IF(separador &gt; 0, RIGHT(E385,largo -separador - 1),"-")</f>
        <v>NY 11206</v>
      </c>
      <c r="H385" s="4" t="s">
        <v>4464</v>
      </c>
      <c r="I385" s="4" t="s">
        <v>3467</v>
      </c>
      <c r="J385" s="13">
        <v>38886.242777777778</v>
      </c>
      <c r="K385" s="4" t="s">
        <v>3669</v>
      </c>
      <c r="M385" s="4">
        <f>IFERROR(FIND(",",E385),0)</f>
        <v>9</v>
      </c>
      <c r="N385" s="4">
        <f>LEN(E385)</f>
        <v>18</v>
      </c>
    </row>
    <row r="386" spans="1:14" outlineLevel="2" x14ac:dyDescent="0.3">
      <c r="A386" t="s">
        <v>4924</v>
      </c>
      <c r="B386" t="s">
        <v>252</v>
      </c>
      <c r="C386" s="1">
        <v>26762</v>
      </c>
      <c r="D386" t="s">
        <v>1498</v>
      </c>
      <c r="E386" t="s">
        <v>1499</v>
      </c>
      <c r="F386" t="str">
        <f>IF(separador &gt; 0, LEFT(E386,separador - 1), E386)</f>
        <v>8921 West Oak Meadow Road</v>
      </c>
      <c r="G386" t="str">
        <f>IF(separador &gt; 0, RIGHT(E386,largo -separador - 1),"-")</f>
        <v>-</v>
      </c>
      <c r="H386" t="s">
        <v>3920</v>
      </c>
      <c r="I386" t="s">
        <v>2935</v>
      </c>
      <c r="J386" s="2">
        <v>43688.90425925926</v>
      </c>
      <c r="K386" t="s">
        <v>3669</v>
      </c>
      <c r="M386">
        <f>IFERROR(FIND(",",E386),0)</f>
        <v>0</v>
      </c>
      <c r="N386">
        <f>LEN(E386)</f>
        <v>25</v>
      </c>
    </row>
    <row r="387" spans="1:14" outlineLevel="2" x14ac:dyDescent="0.3">
      <c r="A387" s="4" t="s">
        <v>4748</v>
      </c>
      <c r="B387" s="4" t="s">
        <v>76</v>
      </c>
      <c r="C387" s="12">
        <v>26751</v>
      </c>
      <c r="D387" s="4" t="s">
        <v>1146</v>
      </c>
      <c r="E387" s="4" t="s">
        <v>1147</v>
      </c>
      <c r="F387" s="4" t="str">
        <f>IF(separador &gt; 0, LEFT(E387,separador - 1), E387)</f>
        <v>84 North Street</v>
      </c>
      <c r="G387" s="4" t="str">
        <f>IF(separador &gt; 0, RIGHT(E387,largo -separador - 1),"-")</f>
        <v>-</v>
      </c>
      <c r="H387" s="4" t="s">
        <v>3744</v>
      </c>
      <c r="I387" s="4" t="s">
        <v>2762</v>
      </c>
      <c r="J387" s="13">
        <v>38535.210057870368</v>
      </c>
      <c r="K387" s="4" t="s">
        <v>3669</v>
      </c>
      <c r="M387" s="4">
        <f>IFERROR(FIND(",",E387),0)</f>
        <v>0</v>
      </c>
      <c r="N387" s="4">
        <f>LEN(E387)</f>
        <v>15</v>
      </c>
    </row>
    <row r="388" spans="1:14" outlineLevel="2" x14ac:dyDescent="0.3">
      <c r="A388" t="s">
        <v>5340</v>
      </c>
      <c r="B388" t="s">
        <v>668</v>
      </c>
      <c r="C388" s="1">
        <v>26731</v>
      </c>
      <c r="D388" t="s">
        <v>1960</v>
      </c>
      <c r="E388" t="s">
        <v>2206</v>
      </c>
      <c r="F388" t="str">
        <f>IF(separador &gt; 0, LEFT(E388,separador - 1), E388)</f>
        <v>E78 3QR</v>
      </c>
      <c r="G388" t="str">
        <f>IF(separador &gt; 0, RIGHT(E388,largo -separador - 1),"-")</f>
        <v>-</v>
      </c>
      <c r="H388" t="s">
        <v>4336</v>
      </c>
      <c r="I388" t="s">
        <v>3344</v>
      </c>
      <c r="J388" s="2">
        <v>44269.968958333331</v>
      </c>
      <c r="K388" t="s">
        <v>3669</v>
      </c>
      <c r="M388">
        <f>IFERROR(FIND(",",E388),0)</f>
        <v>0</v>
      </c>
      <c r="N388">
        <f>LEN(E388)</f>
        <v>7</v>
      </c>
    </row>
    <row r="389" spans="1:14" outlineLevel="2" x14ac:dyDescent="0.3">
      <c r="A389" s="4" t="s">
        <v>4801</v>
      </c>
      <c r="B389" s="4" t="s">
        <v>129</v>
      </c>
      <c r="C389" s="12">
        <v>26564</v>
      </c>
      <c r="D389" s="4" t="s">
        <v>1252</v>
      </c>
      <c r="E389" s="4" t="s">
        <v>1253</v>
      </c>
      <c r="F389" s="4" t="str">
        <f>IF(separador &gt; 0, LEFT(E389,separador - 1), E389)</f>
        <v>Los Angeles</v>
      </c>
      <c r="G389" s="4" t="str">
        <f>IF(separador &gt; 0, RIGHT(E389,largo -separador - 1),"-")</f>
        <v>CA 90042</v>
      </c>
      <c r="H389" s="4" t="s">
        <v>3797</v>
      </c>
      <c r="I389" s="4" t="s">
        <v>2815</v>
      </c>
      <c r="J389" s="13">
        <v>42352.512395833335</v>
      </c>
      <c r="K389" s="4" t="s">
        <v>3669</v>
      </c>
      <c r="M389" s="4">
        <f>IFERROR(FIND(",",E389),0)</f>
        <v>12</v>
      </c>
      <c r="N389" s="4">
        <f>LEN(E389)</f>
        <v>21</v>
      </c>
    </row>
    <row r="390" spans="1:14" outlineLevel="2" x14ac:dyDescent="0.3">
      <c r="A390" t="s">
        <v>5362</v>
      </c>
      <c r="B390" t="s">
        <v>690</v>
      </c>
      <c r="C390" s="1">
        <v>26418</v>
      </c>
      <c r="D390" t="s">
        <v>2235</v>
      </c>
      <c r="E390" t="s">
        <v>1960</v>
      </c>
      <c r="F390" t="str">
        <f>IF(separador &gt; 0, LEFT(E390,separador - 1), E390)</f>
        <v>London</v>
      </c>
      <c r="G390" t="str">
        <f>IF(separador &gt; 0, RIGHT(E390,largo -separador - 1),"-")</f>
        <v>-</v>
      </c>
      <c r="H390" t="s">
        <v>4358</v>
      </c>
      <c r="I390" t="s">
        <v>3366</v>
      </c>
      <c r="J390" s="2">
        <v>42177.801053240742</v>
      </c>
      <c r="K390" t="s">
        <v>3669</v>
      </c>
      <c r="M390">
        <f>IFERROR(FIND(",",E390),0)</f>
        <v>0</v>
      </c>
      <c r="N390">
        <f>LEN(E390)</f>
        <v>6</v>
      </c>
    </row>
    <row r="391" spans="1:14" outlineLevel="2" x14ac:dyDescent="0.3">
      <c r="A391" s="4" t="s">
        <v>5638</v>
      </c>
      <c r="B391" s="4" t="s">
        <v>966</v>
      </c>
      <c r="C391" s="12">
        <v>26400</v>
      </c>
      <c r="D391" s="4" t="s">
        <v>2653</v>
      </c>
      <c r="E391" s="4" t="s">
        <v>2454</v>
      </c>
      <c r="F391" s="4" t="str">
        <f>IF(separador &gt; 0, LEFT(E391,separador - 1), E391)</f>
        <v>Brooklyn</v>
      </c>
      <c r="G391" s="4" t="str">
        <f>IF(separador &gt; 0, RIGHT(E391,largo -separador - 1),"-")</f>
        <v>NY 11225</v>
      </c>
      <c r="H391" s="4" t="s">
        <v>4634</v>
      </c>
      <c r="I391" s="4" t="s">
        <v>3035</v>
      </c>
      <c r="J391" s="13">
        <v>43019.959166666667</v>
      </c>
      <c r="K391" s="4" t="s">
        <v>3669</v>
      </c>
      <c r="M391" s="4">
        <f>IFERROR(FIND(",",E391),0)</f>
        <v>9</v>
      </c>
      <c r="N391" s="4">
        <f>LEN(E391)</f>
        <v>18</v>
      </c>
    </row>
    <row r="392" spans="1:14" outlineLevel="2" x14ac:dyDescent="0.3">
      <c r="A392" t="s">
        <v>5665</v>
      </c>
      <c r="B392" t="s">
        <v>993</v>
      </c>
      <c r="C392" s="1">
        <v>26330</v>
      </c>
      <c r="D392" t="s">
        <v>2680</v>
      </c>
      <c r="E392" t="s">
        <v>2558</v>
      </c>
      <c r="F392" t="str">
        <f>IF(separador &gt; 0, LEFT(E392,separador - 1), E392)</f>
        <v>Woodside</v>
      </c>
      <c r="G392" t="str">
        <f>IF(separador &gt; 0, RIGHT(E392,largo -separador - 1),"-")</f>
        <v>NY 11377</v>
      </c>
      <c r="H392" t="s">
        <v>4661</v>
      </c>
      <c r="I392" t="s">
        <v>3657</v>
      </c>
      <c r="J392" s="2">
        <v>40468.270844907405</v>
      </c>
      <c r="K392" t="s">
        <v>3669</v>
      </c>
      <c r="M392">
        <f>IFERROR(FIND(",",E392),0)</f>
        <v>9</v>
      </c>
      <c r="N392">
        <f>LEN(E392)</f>
        <v>18</v>
      </c>
    </row>
    <row r="393" spans="1:14" outlineLevel="2" x14ac:dyDescent="0.3">
      <c r="A393" s="4" t="s">
        <v>5181</v>
      </c>
      <c r="B393" s="4" t="s">
        <v>509</v>
      </c>
      <c r="C393" s="12">
        <v>26250</v>
      </c>
      <c r="D393" s="4" t="s">
        <v>1960</v>
      </c>
      <c r="E393" s="4" t="s">
        <v>1995</v>
      </c>
      <c r="F393" s="4" t="str">
        <f>IF(separador &gt; 0, LEFT(E393,separador - 1), E393)</f>
        <v>NW54 0QU</v>
      </c>
      <c r="G393" s="4" t="str">
        <f>IF(separador &gt; 0, RIGHT(E393,largo -separador - 1),"-")</f>
        <v>-</v>
      </c>
      <c r="H393" s="4" t="s">
        <v>4177</v>
      </c>
      <c r="I393" s="4" t="s">
        <v>3189</v>
      </c>
      <c r="J393" s="13">
        <v>38775.646087962959</v>
      </c>
      <c r="K393" s="4" t="s">
        <v>3669</v>
      </c>
      <c r="M393" s="4">
        <f>IFERROR(FIND(",",E393),0)</f>
        <v>0</v>
      </c>
      <c r="N393" s="4">
        <f>LEN(E393)</f>
        <v>8</v>
      </c>
    </row>
    <row r="394" spans="1:14" outlineLevel="2" x14ac:dyDescent="0.3">
      <c r="A394" t="s">
        <v>4826</v>
      </c>
      <c r="B394" t="s">
        <v>154</v>
      </c>
      <c r="C394" s="1">
        <v>26181</v>
      </c>
      <c r="D394" t="s">
        <v>1302</v>
      </c>
      <c r="E394" t="s">
        <v>1303</v>
      </c>
      <c r="F394" t="str">
        <f>IF(separador &gt; 0, LEFT(E394,separador - 1), E394)</f>
        <v>Garden Grove</v>
      </c>
      <c r="G394" t="str">
        <f>IF(separador &gt; 0, RIGHT(E394,largo -separador - 1),"-")</f>
        <v>CA 92840</v>
      </c>
      <c r="H394" t="s">
        <v>3822</v>
      </c>
      <c r="I394" t="s">
        <v>2840</v>
      </c>
      <c r="J394" s="2">
        <v>41331.643263888887</v>
      </c>
      <c r="K394" t="s">
        <v>3669</v>
      </c>
      <c r="M394">
        <f>IFERROR(FIND(",",E394),0)</f>
        <v>13</v>
      </c>
      <c r="N394">
        <f>LEN(E394)</f>
        <v>22</v>
      </c>
    </row>
    <row r="395" spans="1:14" outlineLevel="2" x14ac:dyDescent="0.3">
      <c r="A395" s="4" t="s">
        <v>5595</v>
      </c>
      <c r="B395" s="4" t="s">
        <v>923</v>
      </c>
      <c r="C395" s="12">
        <v>26166</v>
      </c>
      <c r="D395" s="4" t="s">
        <v>2610</v>
      </c>
      <c r="E395" s="4" t="s">
        <v>2550</v>
      </c>
      <c r="F395" s="4" t="str">
        <f>IF(separador &gt; 0, LEFT(E395,separador - 1), E395)</f>
        <v>Rome</v>
      </c>
      <c r="G395" s="4" t="str">
        <f>IF(separador &gt; 0, RIGHT(E395,largo -separador - 1),"-")</f>
        <v>NY 13440</v>
      </c>
      <c r="H395" s="4" t="s">
        <v>4591</v>
      </c>
      <c r="I395" s="4" t="s">
        <v>3592</v>
      </c>
      <c r="J395" s="13">
        <v>40438.532210648147</v>
      </c>
      <c r="K395" s="4" t="s">
        <v>3669</v>
      </c>
      <c r="M395" s="4">
        <f>IFERROR(FIND(",",E395),0)</f>
        <v>5</v>
      </c>
      <c r="N395" s="4">
        <f>LEN(E395)</f>
        <v>14</v>
      </c>
    </row>
    <row r="396" spans="1:14" outlineLevel="2" x14ac:dyDescent="0.3">
      <c r="A396" t="s">
        <v>5650</v>
      </c>
      <c r="B396" t="s">
        <v>978</v>
      </c>
      <c r="C396" s="1">
        <v>25881</v>
      </c>
      <c r="D396" t="s">
        <v>2665</v>
      </c>
      <c r="E396" t="s">
        <v>2512</v>
      </c>
      <c r="F396" t="str">
        <f>IF(separador &gt; 0, LEFT(E396,separador - 1), E396)</f>
        <v>Bronx</v>
      </c>
      <c r="G396" t="str">
        <f>IF(separador &gt; 0, RIGHT(E396,largo -separador - 1),"-")</f>
        <v>NY 10457</v>
      </c>
      <c r="H396" t="s">
        <v>4646</v>
      </c>
      <c r="I396" t="s">
        <v>3644</v>
      </c>
      <c r="J396" s="2">
        <v>42425.609131944446</v>
      </c>
      <c r="K396" t="s">
        <v>3669</v>
      </c>
      <c r="M396">
        <f>IFERROR(FIND(",",E396),0)</f>
        <v>6</v>
      </c>
      <c r="N396">
        <f>LEN(E396)</f>
        <v>15</v>
      </c>
    </row>
    <row r="397" spans="1:14" outlineLevel="2" x14ac:dyDescent="0.3">
      <c r="A397" s="4" t="s">
        <v>4708</v>
      </c>
      <c r="B397" s="4" t="s">
        <v>36</v>
      </c>
      <c r="C397" s="12">
        <v>25839</v>
      </c>
      <c r="D397" s="4" t="s">
        <v>1066</v>
      </c>
      <c r="E397" s="4" t="s">
        <v>1067</v>
      </c>
      <c r="F397" s="4" t="str">
        <f>IF(separador &gt; 0, LEFT(E397,separador - 1), E397)</f>
        <v>Mahwah</v>
      </c>
      <c r="G397" s="4" t="str">
        <f>IF(separador &gt; 0, RIGHT(E397,largo -separador - 1),"-")</f>
        <v>NJ 07430</v>
      </c>
      <c r="H397" s="4" t="s">
        <v>3704</v>
      </c>
      <c r="I397" s="4" t="s">
        <v>2722</v>
      </c>
      <c r="J397" s="13">
        <v>42824.765532407408</v>
      </c>
      <c r="K397" s="4" t="s">
        <v>3669</v>
      </c>
      <c r="M397" s="4">
        <f>IFERROR(FIND(",",E397),0)</f>
        <v>7</v>
      </c>
      <c r="N397" s="4">
        <f>LEN(E397)</f>
        <v>16</v>
      </c>
    </row>
    <row r="398" spans="1:14" outlineLevel="2" x14ac:dyDescent="0.3">
      <c r="A398" t="s">
        <v>5386</v>
      </c>
      <c r="B398" t="s">
        <v>714</v>
      </c>
      <c r="C398" s="1">
        <v>25826</v>
      </c>
      <c r="D398" t="s">
        <v>2266</v>
      </c>
      <c r="E398" t="s">
        <v>1960</v>
      </c>
      <c r="F398" t="str">
        <f>IF(separador &gt; 0, LEFT(E398,separador - 1), E398)</f>
        <v>London</v>
      </c>
      <c r="G398" t="str">
        <f>IF(separador &gt; 0, RIGHT(E398,largo -separador - 1),"-")</f>
        <v>-</v>
      </c>
      <c r="H398" t="s">
        <v>4382</v>
      </c>
      <c r="I398" t="s">
        <v>3389</v>
      </c>
      <c r="J398" s="2">
        <v>39997.168275462966</v>
      </c>
      <c r="K398" t="s">
        <v>3669</v>
      </c>
      <c r="M398">
        <f>IFERROR(FIND(",",E398),0)</f>
        <v>0</v>
      </c>
      <c r="N398">
        <f>LEN(E398)</f>
        <v>6</v>
      </c>
    </row>
    <row r="399" spans="1:14" outlineLevel="2" x14ac:dyDescent="0.3">
      <c r="A399" s="4" t="s">
        <v>4966</v>
      </c>
      <c r="B399" s="4" t="s">
        <v>294</v>
      </c>
      <c r="C399" s="12">
        <v>25785</v>
      </c>
      <c r="D399" s="4" t="s">
        <v>1582</v>
      </c>
      <c r="E399" s="4" t="s">
        <v>1583</v>
      </c>
      <c r="F399" s="4" t="str">
        <f>IF(separador &gt; 0, LEFT(E399,separador - 1), E399)</f>
        <v>603 Elm Lane</v>
      </c>
      <c r="G399" s="4" t="str">
        <f>IF(separador &gt; 0, RIGHT(E399,largo -separador - 1),"-")</f>
        <v>-</v>
      </c>
      <c r="H399" s="4" t="s">
        <v>3962</v>
      </c>
      <c r="I399" s="4" t="s">
        <v>2977</v>
      </c>
      <c r="J399" s="13">
        <v>41448.701967592591</v>
      </c>
      <c r="K399" s="4" t="s">
        <v>3669</v>
      </c>
      <c r="M399" s="4">
        <f>IFERROR(FIND(",",E399),0)</f>
        <v>0</v>
      </c>
      <c r="N399" s="4">
        <f>LEN(E399)</f>
        <v>12</v>
      </c>
    </row>
    <row r="400" spans="1:14" outlineLevel="2" x14ac:dyDescent="0.3">
      <c r="A400" t="s">
        <v>5663</v>
      </c>
      <c r="B400" t="s">
        <v>991</v>
      </c>
      <c r="C400" s="1">
        <v>25652</v>
      </c>
      <c r="D400" t="s">
        <v>2678</v>
      </c>
      <c r="E400" t="s">
        <v>2344</v>
      </c>
      <c r="F400" t="str">
        <f>IF(separador &gt; 0, LEFT(E400,separador - 1), E400)</f>
        <v>Brooklyn</v>
      </c>
      <c r="G400" t="str">
        <f>IF(separador &gt; 0, RIGHT(E400,largo -separador - 1),"-")</f>
        <v>NY 11215</v>
      </c>
      <c r="H400" t="s">
        <v>4659</v>
      </c>
      <c r="I400" t="s">
        <v>3655</v>
      </c>
      <c r="J400" s="2">
        <v>44198.741747685184</v>
      </c>
      <c r="K400" t="s">
        <v>3669</v>
      </c>
      <c r="M400">
        <f>IFERROR(FIND(",",E400),0)</f>
        <v>9</v>
      </c>
      <c r="N400">
        <f>LEN(E400)</f>
        <v>18</v>
      </c>
    </row>
    <row r="401" spans="1:14" outlineLevel="1" x14ac:dyDescent="0.3">
      <c r="J401" s="3" t="s">
        <v>5681</v>
      </c>
      <c r="K401">
        <f>SUBTOTAL(3,K211:K400)</f>
        <v>190</v>
      </c>
    </row>
    <row r="402" spans="1:14" outlineLevel="2" x14ac:dyDescent="0.3">
      <c r="A402" s="4" t="s">
        <v>4749</v>
      </c>
      <c r="B402" s="4" t="s">
        <v>77</v>
      </c>
      <c r="C402" s="12">
        <v>36628</v>
      </c>
      <c r="D402" s="4" t="s">
        <v>1148</v>
      </c>
      <c r="E402" s="4" t="s">
        <v>1149</v>
      </c>
      <c r="F402" s="4" t="str">
        <f>IF(separador &gt; 0, LEFT(E402,separador - 1), E402)</f>
        <v>DY65 3GJ</v>
      </c>
      <c r="G402" s="4" t="str">
        <f>IF(separador &gt; 0, RIGHT(E402,largo -separador - 1),"-")</f>
        <v>-</v>
      </c>
      <c r="H402" s="4" t="s">
        <v>3745</v>
      </c>
      <c r="I402" s="4" t="s">
        <v>2763</v>
      </c>
      <c r="J402" s="13">
        <v>41175.734513888892</v>
      </c>
      <c r="K402" s="4" t="s">
        <v>3670</v>
      </c>
      <c r="M402" s="4">
        <f>IFERROR(FIND(",",E402),0)</f>
        <v>0</v>
      </c>
      <c r="N402" s="4">
        <f>LEN(E402)</f>
        <v>8</v>
      </c>
    </row>
    <row r="403" spans="1:14" outlineLevel="2" x14ac:dyDescent="0.3">
      <c r="A403" t="s">
        <v>4722</v>
      </c>
      <c r="B403" t="s">
        <v>50</v>
      </c>
      <c r="C403" s="1">
        <v>36594</v>
      </c>
      <c r="D403" t="s">
        <v>1094</v>
      </c>
      <c r="E403" t="s">
        <v>1095</v>
      </c>
      <c r="F403" t="str">
        <f>IF(separador &gt; 0, LEFT(E403,separador - 1), E403)</f>
        <v>DD84 2WJ</v>
      </c>
      <c r="G403" t="str">
        <f>IF(separador &gt; 0, RIGHT(E403,largo -separador - 1),"-")</f>
        <v>-</v>
      </c>
      <c r="H403" t="s">
        <v>3718</v>
      </c>
      <c r="I403" t="s">
        <v>2736</v>
      </c>
      <c r="J403" s="2">
        <v>42987.803449074076</v>
      </c>
      <c r="K403" t="s">
        <v>3670</v>
      </c>
      <c r="M403">
        <f>IFERROR(FIND(",",E403),0)</f>
        <v>0</v>
      </c>
      <c r="N403">
        <f>LEN(E403)</f>
        <v>8</v>
      </c>
    </row>
    <row r="404" spans="1:14" outlineLevel="2" x14ac:dyDescent="0.3">
      <c r="A404" s="4" t="s">
        <v>5434</v>
      </c>
      <c r="B404" s="4" t="s">
        <v>762</v>
      </c>
      <c r="C404" s="12">
        <v>36529</v>
      </c>
      <c r="D404" s="4" t="s">
        <v>2330</v>
      </c>
      <c r="E404" s="4" t="s">
        <v>1960</v>
      </c>
      <c r="F404" s="4" t="str">
        <f>IF(separador &gt; 0, LEFT(E404,separador - 1), E404)</f>
        <v>London</v>
      </c>
      <c r="G404" s="4" t="str">
        <f>IF(separador &gt; 0, RIGHT(E404,largo -separador - 1),"-")</f>
        <v>-</v>
      </c>
      <c r="H404" s="4" t="s">
        <v>4430</v>
      </c>
      <c r="I404" s="4" t="s">
        <v>3435</v>
      </c>
      <c r="J404" s="13">
        <v>39299.056134259263</v>
      </c>
      <c r="K404" s="4" t="s">
        <v>3670</v>
      </c>
      <c r="M404" s="4">
        <f>IFERROR(FIND(",",E404),0)</f>
        <v>0</v>
      </c>
      <c r="N404" s="4">
        <f>LEN(E404)</f>
        <v>6</v>
      </c>
    </row>
    <row r="405" spans="1:14" outlineLevel="2" x14ac:dyDescent="0.3">
      <c r="A405" t="s">
        <v>5175</v>
      </c>
      <c r="B405" t="s">
        <v>503</v>
      </c>
      <c r="C405" s="1">
        <v>36473</v>
      </c>
      <c r="D405" t="s">
        <v>1960</v>
      </c>
      <c r="E405" t="s">
        <v>1987</v>
      </c>
      <c r="F405" t="str">
        <f>IF(separador &gt; 0, LEFT(E405,separador - 1), E405)</f>
        <v>NW61 4VP</v>
      </c>
      <c r="G405" t="str">
        <f>IF(separador &gt; 0, RIGHT(E405,largo -separador - 1),"-")</f>
        <v>-</v>
      </c>
      <c r="H405" t="s">
        <v>4171</v>
      </c>
      <c r="I405" t="s">
        <v>3183</v>
      </c>
      <c r="J405" s="2">
        <v>41155.792314814818</v>
      </c>
      <c r="K405" t="s">
        <v>3670</v>
      </c>
      <c r="M405">
        <f>IFERROR(FIND(",",E405),0)</f>
        <v>0</v>
      </c>
      <c r="N405">
        <f>LEN(E405)</f>
        <v>8</v>
      </c>
    </row>
    <row r="406" spans="1:14" outlineLevel="2" x14ac:dyDescent="0.3">
      <c r="A406" s="4" t="s">
        <v>4803</v>
      </c>
      <c r="B406" s="4" t="s">
        <v>131</v>
      </c>
      <c r="C406" s="12">
        <v>36448</v>
      </c>
      <c r="D406" s="4" t="s">
        <v>1256</v>
      </c>
      <c r="E406" s="4" t="s">
        <v>1257</v>
      </c>
      <c r="F406" s="4" t="str">
        <f>IF(separador &gt; 0, LEFT(E406,separador - 1), E406)</f>
        <v>Anaheim</v>
      </c>
      <c r="G406" s="4" t="str">
        <f>IF(separador &gt; 0, RIGHT(E406,largo -separador - 1),"-")</f>
        <v>CA 92805</v>
      </c>
      <c r="H406" s="4" t="s">
        <v>3799</v>
      </c>
      <c r="I406" s="4" t="s">
        <v>2817</v>
      </c>
      <c r="J406" s="13">
        <v>40865.513912037037</v>
      </c>
      <c r="K406" s="4" t="s">
        <v>3670</v>
      </c>
      <c r="M406" s="4">
        <f>IFERROR(FIND(",",E406),0)</f>
        <v>8</v>
      </c>
      <c r="N406" s="4">
        <f>LEN(E406)</f>
        <v>17</v>
      </c>
    </row>
    <row r="407" spans="1:14" outlineLevel="2" x14ac:dyDescent="0.3">
      <c r="A407" t="s">
        <v>5572</v>
      </c>
      <c r="B407" t="s">
        <v>900</v>
      </c>
      <c r="C407" s="1">
        <v>36414</v>
      </c>
      <c r="D407" t="s">
        <v>2587</v>
      </c>
      <c r="E407" t="s">
        <v>2441</v>
      </c>
      <c r="F407" t="str">
        <f>IF(separador &gt; 0, LEFT(E407,separador - 1), E407)</f>
        <v>Fairport</v>
      </c>
      <c r="G407" t="str">
        <f>IF(separador &gt; 0, RIGHT(E407,largo -separador - 1),"-")</f>
        <v>NY 14450</v>
      </c>
      <c r="H407" t="s">
        <v>4568</v>
      </c>
      <c r="I407" t="s">
        <v>3570</v>
      </c>
      <c r="J407" s="2">
        <v>39770.409884259258</v>
      </c>
      <c r="K407" t="s">
        <v>3670</v>
      </c>
      <c r="M407">
        <f>IFERROR(FIND(",",E407),0)</f>
        <v>9</v>
      </c>
      <c r="N407">
        <f>LEN(E407)</f>
        <v>18</v>
      </c>
    </row>
    <row r="408" spans="1:14" outlineLevel="2" x14ac:dyDescent="0.3">
      <c r="A408" s="4" t="s">
        <v>5602</v>
      </c>
      <c r="B408" s="4" t="s">
        <v>930</v>
      </c>
      <c r="C408" s="12">
        <v>36339</v>
      </c>
      <c r="D408" s="4" t="s">
        <v>2617</v>
      </c>
      <c r="E408" s="4" t="s">
        <v>2451</v>
      </c>
      <c r="F408" s="4" t="str">
        <f>IF(separador &gt; 0, LEFT(E408,separador - 1), E408)</f>
        <v>Brooklyn</v>
      </c>
      <c r="G408" s="4" t="str">
        <f>IF(separador &gt; 0, RIGHT(E408,largo -separador - 1),"-")</f>
        <v>NY 11213</v>
      </c>
      <c r="H408" s="4" t="s">
        <v>4598</v>
      </c>
      <c r="I408" s="4" t="s">
        <v>3599</v>
      </c>
      <c r="J408" s="13">
        <v>39311.629618055558</v>
      </c>
      <c r="K408" s="4" t="s">
        <v>3670</v>
      </c>
      <c r="M408" s="4">
        <f>IFERROR(FIND(",",E408),0)</f>
        <v>9</v>
      </c>
      <c r="N408" s="4">
        <f>LEN(E408)</f>
        <v>18</v>
      </c>
    </row>
    <row r="409" spans="1:14" outlineLevel="2" x14ac:dyDescent="0.3">
      <c r="A409" t="s">
        <v>4690</v>
      </c>
      <c r="B409" t="s">
        <v>18</v>
      </c>
      <c r="C409" s="1">
        <v>36296</v>
      </c>
      <c r="D409" t="s">
        <v>1030</v>
      </c>
      <c r="E409" t="s">
        <v>1031</v>
      </c>
      <c r="F409" t="str">
        <f>IF(separador &gt; 0, LEFT(E409,separador - 1), E409)</f>
        <v>Marcus Hook</v>
      </c>
      <c r="G409" t="str">
        <f>IF(separador &gt; 0, RIGHT(E409,largo -separador - 1),"-")</f>
        <v>PA 19061</v>
      </c>
      <c r="H409" t="s">
        <v>3686</v>
      </c>
      <c r="I409" t="s">
        <v>2704</v>
      </c>
      <c r="J409" s="2">
        <v>42672.280694444446</v>
      </c>
      <c r="K409" t="s">
        <v>3670</v>
      </c>
      <c r="M409">
        <f>IFERROR(FIND(",",E409),0)</f>
        <v>12</v>
      </c>
      <c r="N409">
        <f>LEN(E409)</f>
        <v>21</v>
      </c>
    </row>
    <row r="410" spans="1:14" outlineLevel="2" x14ac:dyDescent="0.3">
      <c r="A410" s="4" t="s">
        <v>4901</v>
      </c>
      <c r="B410" s="4" t="s">
        <v>229</v>
      </c>
      <c r="C410" s="12">
        <v>36289</v>
      </c>
      <c r="D410" s="4" t="s">
        <v>1452</v>
      </c>
      <c r="E410" s="4" t="s">
        <v>1453</v>
      </c>
      <c r="F410" s="4" t="str">
        <f>IF(separador &gt; 0, LEFT(E410,separador - 1), E410)</f>
        <v>9 Kingston Lane</v>
      </c>
      <c r="G410" s="4" t="str">
        <f>IF(separador &gt; 0, RIGHT(E410,largo -separador - 1),"-")</f>
        <v>-</v>
      </c>
      <c r="H410" s="4" t="s">
        <v>3897</v>
      </c>
      <c r="I410" s="4" t="s">
        <v>2912</v>
      </c>
      <c r="J410" s="13">
        <v>41643.512986111113</v>
      </c>
      <c r="K410" s="4" t="s">
        <v>3670</v>
      </c>
      <c r="M410" s="4">
        <f>IFERROR(FIND(",",E410),0)</f>
        <v>0</v>
      </c>
      <c r="N410" s="4">
        <f>LEN(E410)</f>
        <v>15</v>
      </c>
    </row>
    <row r="411" spans="1:14" outlineLevel="2" x14ac:dyDescent="0.3">
      <c r="A411" t="s">
        <v>4716</v>
      </c>
      <c r="B411" t="s">
        <v>44</v>
      </c>
      <c r="C411" s="1">
        <v>36289</v>
      </c>
      <c r="D411" t="s">
        <v>1082</v>
      </c>
      <c r="E411" t="s">
        <v>1083</v>
      </c>
      <c r="F411" t="str">
        <f>IF(separador &gt; 0, LEFT(E411,separador - 1), E411)</f>
        <v>Gallatin</v>
      </c>
      <c r="G411" t="str">
        <f>IF(separador &gt; 0, RIGHT(E411,largo -separador - 1),"-")</f>
        <v>TN 37066</v>
      </c>
      <c r="H411" t="s">
        <v>3712</v>
      </c>
      <c r="I411" t="s">
        <v>2730</v>
      </c>
      <c r="J411" s="2">
        <v>39818.013310185182</v>
      </c>
      <c r="K411" t="s">
        <v>3670</v>
      </c>
      <c r="M411">
        <f>IFERROR(FIND(",",E411),0)</f>
        <v>9</v>
      </c>
      <c r="N411">
        <f>LEN(E411)</f>
        <v>18</v>
      </c>
    </row>
    <row r="412" spans="1:14" outlineLevel="2" x14ac:dyDescent="0.3">
      <c r="A412" s="4" t="s">
        <v>4948</v>
      </c>
      <c r="B412" s="4" t="s">
        <v>276</v>
      </c>
      <c r="C412" s="12">
        <v>36272</v>
      </c>
      <c r="D412" s="4" t="s">
        <v>1546</v>
      </c>
      <c r="E412" s="4" t="s">
        <v>1547</v>
      </c>
      <c r="F412" s="4" t="str">
        <f>IF(separador &gt; 0, LEFT(E412,separador - 1), E412)</f>
        <v>258 Bohemia St.</v>
      </c>
      <c r="G412" s="4" t="str">
        <f>IF(separador &gt; 0, RIGHT(E412,largo -separador - 1),"-")</f>
        <v>-</v>
      </c>
      <c r="H412" s="4" t="s">
        <v>3944</v>
      </c>
      <c r="I412" s="4" t="s">
        <v>2959</v>
      </c>
      <c r="J412" s="13">
        <v>38833.594178240739</v>
      </c>
      <c r="K412" s="4" t="s">
        <v>3670</v>
      </c>
      <c r="M412" s="4">
        <f>IFERROR(FIND(",",E412),0)</f>
        <v>0</v>
      </c>
      <c r="N412" s="4">
        <f>LEN(E412)</f>
        <v>15</v>
      </c>
    </row>
    <row r="413" spans="1:14" outlineLevel="2" x14ac:dyDescent="0.3">
      <c r="A413" t="s">
        <v>5456</v>
      </c>
      <c r="B413" t="s">
        <v>784</v>
      </c>
      <c r="C413" s="1">
        <v>36265</v>
      </c>
      <c r="D413" t="s">
        <v>2371</v>
      </c>
      <c r="E413" t="s">
        <v>2372</v>
      </c>
      <c r="F413" t="str">
        <f>IF(separador &gt; 0, LEFT(E413,separador - 1), E413)</f>
        <v>Brooklyn</v>
      </c>
      <c r="G413" t="str">
        <f>IF(separador &gt; 0, RIGHT(E413,largo -separador - 1),"-")</f>
        <v>NY 11236</v>
      </c>
      <c r="H413" t="s">
        <v>4452</v>
      </c>
      <c r="I413" t="s">
        <v>3455</v>
      </c>
      <c r="J413" s="2">
        <v>44308.210914351854</v>
      </c>
      <c r="K413" t="s">
        <v>3670</v>
      </c>
      <c r="M413">
        <f>IFERROR(FIND(",",E413),0)</f>
        <v>9</v>
      </c>
      <c r="N413">
        <f>LEN(E413)</f>
        <v>18</v>
      </c>
    </row>
    <row r="414" spans="1:14" outlineLevel="2" x14ac:dyDescent="0.3">
      <c r="A414" s="4" t="s">
        <v>4837</v>
      </c>
      <c r="B414" s="4" t="s">
        <v>165</v>
      </c>
      <c r="C414" s="12">
        <v>36252</v>
      </c>
      <c r="D414" s="4" t="s">
        <v>1324</v>
      </c>
      <c r="E414" s="4" t="s">
        <v>1325</v>
      </c>
      <c r="F414" s="4" t="str">
        <f>IF(separador &gt; 0, LEFT(E414,separador - 1), E414)</f>
        <v>Vallejo</v>
      </c>
      <c r="G414" s="4" t="str">
        <f>IF(separador &gt; 0, RIGHT(E414,largo -separador - 1),"-")</f>
        <v>CA 94591</v>
      </c>
      <c r="H414" s="4" t="s">
        <v>3833</v>
      </c>
      <c r="I414" s="4" t="s">
        <v>2851</v>
      </c>
      <c r="J414" s="13">
        <v>43468.345856481479</v>
      </c>
      <c r="K414" s="4" t="s">
        <v>3670</v>
      </c>
      <c r="M414" s="4">
        <f>IFERROR(FIND(",",E414),0)</f>
        <v>8</v>
      </c>
      <c r="N414" s="4">
        <f>LEN(E414)</f>
        <v>17</v>
      </c>
    </row>
    <row r="415" spans="1:14" outlineLevel="2" x14ac:dyDescent="0.3">
      <c r="A415" t="s">
        <v>5387</v>
      </c>
      <c r="B415" t="s">
        <v>715</v>
      </c>
      <c r="C415" s="1">
        <v>36192</v>
      </c>
      <c r="D415" t="s">
        <v>2267</v>
      </c>
      <c r="E415" t="s">
        <v>2268</v>
      </c>
      <c r="F415" t="str">
        <f>IF(separador &gt; 0, LEFT(E415,separador - 1), E415)</f>
        <v>19 The Avenue</v>
      </c>
      <c r="G415" t="str">
        <f>IF(separador &gt; 0, RIGHT(E415,largo -separador - 1),"-")</f>
        <v>-</v>
      </c>
      <c r="H415" t="s">
        <v>4383</v>
      </c>
      <c r="I415" t="s">
        <v>3390</v>
      </c>
      <c r="J415" s="2">
        <v>43470.409398148149</v>
      </c>
      <c r="K415" t="s">
        <v>3670</v>
      </c>
      <c r="M415">
        <f>IFERROR(FIND(",",E415),0)</f>
        <v>0</v>
      </c>
      <c r="N415">
        <f>LEN(E415)</f>
        <v>13</v>
      </c>
    </row>
    <row r="416" spans="1:14" outlineLevel="2" x14ac:dyDescent="0.3">
      <c r="A416" s="4" t="s">
        <v>4843</v>
      </c>
      <c r="B416" s="4" t="s">
        <v>171</v>
      </c>
      <c r="C416" s="12">
        <v>36188</v>
      </c>
      <c r="D416" s="4" t="s">
        <v>1336</v>
      </c>
      <c r="E416" s="4" t="s">
        <v>1337</v>
      </c>
      <c r="F416" s="4" t="str">
        <f>IF(separador &gt; 0, LEFT(E416,separador - 1), E416)</f>
        <v>Colton</v>
      </c>
      <c r="G416" s="4" t="str">
        <f>IF(separador &gt; 0, RIGHT(E416,largo -separador - 1),"-")</f>
        <v>CA 92324</v>
      </c>
      <c r="H416" s="4" t="s">
        <v>3839</v>
      </c>
      <c r="I416" s="4" t="s">
        <v>2856</v>
      </c>
      <c r="J416" s="13">
        <v>39277.557569444441</v>
      </c>
      <c r="K416" s="4" t="s">
        <v>3670</v>
      </c>
      <c r="M416" s="4">
        <f>IFERROR(FIND(",",E416),0)</f>
        <v>7</v>
      </c>
      <c r="N416" s="4">
        <f>LEN(E416)</f>
        <v>16</v>
      </c>
    </row>
    <row r="417" spans="1:14" outlineLevel="2" x14ac:dyDescent="0.3">
      <c r="A417" t="s">
        <v>4816</v>
      </c>
      <c r="B417" t="s">
        <v>144</v>
      </c>
      <c r="C417" s="1">
        <v>36166</v>
      </c>
      <c r="D417" t="s">
        <v>1282</v>
      </c>
      <c r="E417" t="s">
        <v>1283</v>
      </c>
      <c r="F417" t="str">
        <f>IF(separador &gt; 0, LEFT(E417,separador - 1), E417)</f>
        <v>Paramount</v>
      </c>
      <c r="G417" t="str">
        <f>IF(separador &gt; 0, RIGHT(E417,largo -separador - 1),"-")</f>
        <v>CA 90723</v>
      </c>
      <c r="H417" t="s">
        <v>3812</v>
      </c>
      <c r="I417" t="s">
        <v>2830</v>
      </c>
      <c r="J417" s="2">
        <v>39633.076018518521</v>
      </c>
      <c r="K417" t="s">
        <v>3670</v>
      </c>
      <c r="M417">
        <f>IFERROR(FIND(",",E417),0)</f>
        <v>10</v>
      </c>
      <c r="N417">
        <f>LEN(E417)</f>
        <v>19</v>
      </c>
    </row>
    <row r="418" spans="1:14" outlineLevel="2" x14ac:dyDescent="0.3">
      <c r="A418" s="4" t="s">
        <v>5096</v>
      </c>
      <c r="B418" s="4" t="s">
        <v>424</v>
      </c>
      <c r="C418" s="12">
        <v>36157</v>
      </c>
      <c r="D418" s="4" t="s">
        <v>1841</v>
      </c>
      <c r="E418" s="4" t="s">
        <v>1842</v>
      </c>
      <c r="F418" s="4" t="str">
        <f>IF(separador &gt; 0, LEFT(E418,separador - 1), E418)</f>
        <v>472 West Summit Drive</v>
      </c>
      <c r="G418" s="4" t="str">
        <f>IF(separador &gt; 0, RIGHT(E418,largo -separador - 1),"-")</f>
        <v>-</v>
      </c>
      <c r="H418" s="4" t="s">
        <v>4092</v>
      </c>
      <c r="I418" s="4" t="s">
        <v>3106</v>
      </c>
      <c r="J418" s="13">
        <v>40677.611956018518</v>
      </c>
      <c r="K418" s="4" t="s">
        <v>3670</v>
      </c>
      <c r="M418" s="4">
        <f>IFERROR(FIND(",",E418),0)</f>
        <v>0</v>
      </c>
      <c r="N418" s="4">
        <f>LEN(E418)</f>
        <v>21</v>
      </c>
    </row>
    <row r="419" spans="1:14" outlineLevel="2" x14ac:dyDescent="0.3">
      <c r="A419" t="s">
        <v>4728</v>
      </c>
      <c r="B419" t="s">
        <v>56</v>
      </c>
      <c r="C419" s="1">
        <v>36116</v>
      </c>
      <c r="D419" t="s">
        <v>1106</v>
      </c>
      <c r="E419" t="s">
        <v>1107</v>
      </c>
      <c r="F419" t="str">
        <f>IF(separador &gt; 0, LEFT(E419,separador - 1), E419)</f>
        <v>SK35 8CV</v>
      </c>
      <c r="G419" t="str">
        <f>IF(separador &gt; 0, RIGHT(E419,largo -separador - 1),"-")</f>
        <v>-</v>
      </c>
      <c r="H419" t="s">
        <v>3724</v>
      </c>
      <c r="I419" t="s">
        <v>2742</v>
      </c>
      <c r="J419" s="2">
        <v>44010.445555555554</v>
      </c>
      <c r="K419" t="s">
        <v>3670</v>
      </c>
      <c r="M419">
        <f>IFERROR(FIND(",",E419),0)</f>
        <v>0</v>
      </c>
      <c r="N419">
        <f>LEN(E419)</f>
        <v>8</v>
      </c>
    </row>
    <row r="420" spans="1:14" outlineLevel="2" x14ac:dyDescent="0.3">
      <c r="A420" s="4" t="s">
        <v>4912</v>
      </c>
      <c r="B420" s="4" t="s">
        <v>240</v>
      </c>
      <c r="C420" s="12">
        <v>36106</v>
      </c>
      <c r="D420" s="4" t="s">
        <v>1474</v>
      </c>
      <c r="E420" s="4" t="s">
        <v>1475</v>
      </c>
      <c r="F420" s="4" t="str">
        <f>IF(separador &gt; 0, LEFT(E420,separador - 1), E420)</f>
        <v>381 Clay Rd.</v>
      </c>
      <c r="G420" s="4" t="str">
        <f>IF(separador &gt; 0, RIGHT(E420,largo -separador - 1),"-")</f>
        <v>-</v>
      </c>
      <c r="H420" s="4" t="s">
        <v>3908</v>
      </c>
      <c r="I420" s="4" t="s">
        <v>2923</v>
      </c>
      <c r="J420" s="13">
        <v>41222.562164351853</v>
      </c>
      <c r="K420" s="4" t="s">
        <v>3670</v>
      </c>
      <c r="M420" s="4">
        <f>IFERROR(FIND(",",E420),0)</f>
        <v>0</v>
      </c>
      <c r="N420" s="4">
        <f>LEN(E420)</f>
        <v>12</v>
      </c>
    </row>
    <row r="421" spans="1:14" outlineLevel="2" x14ac:dyDescent="0.3">
      <c r="A421" t="s">
        <v>5511</v>
      </c>
      <c r="B421" t="s">
        <v>839</v>
      </c>
      <c r="C421" s="1">
        <v>35995</v>
      </c>
      <c r="D421" t="s">
        <v>2479</v>
      </c>
      <c r="E421" t="s">
        <v>2480</v>
      </c>
      <c r="F421" t="str">
        <f>IF(separador &gt; 0, LEFT(E421,separador - 1), E421)</f>
        <v>Flushing</v>
      </c>
      <c r="G421" t="str">
        <f>IF(separador &gt; 0, RIGHT(E421,largo -separador - 1),"-")</f>
        <v>NY 11354</v>
      </c>
      <c r="H421" t="s">
        <v>4507</v>
      </c>
      <c r="I421" t="s">
        <v>3510</v>
      </c>
      <c r="J421" s="2">
        <v>43742.646041666667</v>
      </c>
      <c r="K421" t="s">
        <v>3670</v>
      </c>
      <c r="M421">
        <f>IFERROR(FIND(",",E421),0)</f>
        <v>9</v>
      </c>
      <c r="N421">
        <f>LEN(E421)</f>
        <v>18</v>
      </c>
    </row>
    <row r="422" spans="1:14" outlineLevel="2" x14ac:dyDescent="0.3">
      <c r="A422" s="4" t="s">
        <v>5274</v>
      </c>
      <c r="B422" s="4" t="s">
        <v>602</v>
      </c>
      <c r="C422" s="12">
        <v>35994</v>
      </c>
      <c r="D422" s="4" t="s">
        <v>1960</v>
      </c>
      <c r="E422" s="4" t="s">
        <v>2118</v>
      </c>
      <c r="F422" s="4" t="str">
        <f>IF(separador &gt; 0, LEFT(E422,separador - 1), E422)</f>
        <v>WC13 9CG</v>
      </c>
      <c r="G422" s="4" t="str">
        <f>IF(separador &gt; 0, RIGHT(E422,largo -separador - 1),"-")</f>
        <v>-</v>
      </c>
      <c r="H422" s="4" t="s">
        <v>4270</v>
      </c>
      <c r="I422" s="4" t="s">
        <v>3280</v>
      </c>
      <c r="J422" s="13">
        <v>38727.48232638889</v>
      </c>
      <c r="K422" s="4" t="s">
        <v>3670</v>
      </c>
      <c r="M422" s="4">
        <f>IFERROR(FIND(",",E422),0)</f>
        <v>0</v>
      </c>
      <c r="N422" s="4">
        <f>LEN(E422)</f>
        <v>8</v>
      </c>
    </row>
    <row r="423" spans="1:14" outlineLevel="2" x14ac:dyDescent="0.3">
      <c r="A423" t="s">
        <v>5134</v>
      </c>
      <c r="B423" t="s">
        <v>462</v>
      </c>
      <c r="C423" s="1">
        <v>35941</v>
      </c>
      <c r="D423" t="s">
        <v>1917</v>
      </c>
      <c r="E423" t="s">
        <v>1918</v>
      </c>
      <c r="F423" t="str">
        <f>IF(separador &gt; 0, LEFT(E423,separador - 1), E423)</f>
        <v>Miami Beach</v>
      </c>
      <c r="G423" t="str">
        <f>IF(separador &gt; 0, RIGHT(E423,largo -separador - 1),"-")</f>
        <v>FL 33139</v>
      </c>
      <c r="H423" t="s">
        <v>4130</v>
      </c>
      <c r="I423" t="s">
        <v>3143</v>
      </c>
      <c r="J423" s="2">
        <v>42061.751898148148</v>
      </c>
      <c r="K423" t="s">
        <v>3670</v>
      </c>
      <c r="M423">
        <f>IFERROR(FIND(",",E423),0)</f>
        <v>12</v>
      </c>
      <c r="N423">
        <f>LEN(E423)</f>
        <v>21</v>
      </c>
    </row>
    <row r="424" spans="1:14" outlineLevel="2" x14ac:dyDescent="0.3">
      <c r="A424" s="4" t="s">
        <v>5131</v>
      </c>
      <c r="B424" s="4" t="s">
        <v>459</v>
      </c>
      <c r="C424" s="12">
        <v>35938</v>
      </c>
      <c r="D424" s="4" t="s">
        <v>1911</v>
      </c>
      <c r="E424" s="4" t="s">
        <v>1912</v>
      </c>
      <c r="F424" s="4" t="str">
        <f>IF(separador &gt; 0, LEFT(E424,separador - 1), E424)</f>
        <v>Port Charlotte</v>
      </c>
      <c r="G424" s="4" t="str">
        <f>IF(separador &gt; 0, RIGHT(E424,largo -separador - 1),"-")</f>
        <v>FL 33952</v>
      </c>
      <c r="H424" s="4" t="s">
        <v>4127</v>
      </c>
      <c r="I424" s="4" t="s">
        <v>3140</v>
      </c>
      <c r="J424" s="13">
        <v>40678.880393518521</v>
      </c>
      <c r="K424" s="4" t="s">
        <v>3670</v>
      </c>
      <c r="M424" s="4">
        <f>IFERROR(FIND(",",E424),0)</f>
        <v>15</v>
      </c>
      <c r="N424" s="4">
        <f>LEN(E424)</f>
        <v>24</v>
      </c>
    </row>
    <row r="425" spans="1:14" outlineLevel="2" x14ac:dyDescent="0.3">
      <c r="A425" t="s">
        <v>5146</v>
      </c>
      <c r="B425" t="s">
        <v>474</v>
      </c>
      <c r="C425" s="1">
        <v>35883</v>
      </c>
      <c r="D425" t="s">
        <v>1941</v>
      </c>
      <c r="E425" t="s">
        <v>1942</v>
      </c>
      <c r="F425" t="str">
        <f>IF(separador &gt; 0, LEFT(E425,separador - 1), E425)</f>
        <v>Port Richey</v>
      </c>
      <c r="G425" t="str">
        <f>IF(separador &gt; 0, RIGHT(E425,largo -separador - 1),"-")</f>
        <v>FL 34668</v>
      </c>
      <c r="H425" t="s">
        <v>4142</v>
      </c>
      <c r="I425" t="s">
        <v>3155</v>
      </c>
      <c r="J425" s="2">
        <v>40026.08971064815</v>
      </c>
      <c r="K425" t="s">
        <v>3670</v>
      </c>
      <c r="M425">
        <f>IFERROR(FIND(",",E425),0)</f>
        <v>12</v>
      </c>
      <c r="N425">
        <f>LEN(E425)</f>
        <v>21</v>
      </c>
    </row>
    <row r="426" spans="1:14" outlineLevel="2" x14ac:dyDescent="0.3">
      <c r="A426" s="4" t="s">
        <v>5550</v>
      </c>
      <c r="B426" s="4" t="s">
        <v>878</v>
      </c>
      <c r="C426" s="12">
        <v>35794</v>
      </c>
      <c r="D426" s="4" t="s">
        <v>2557</v>
      </c>
      <c r="E426" s="4" t="s">
        <v>2558</v>
      </c>
      <c r="F426" s="4" t="str">
        <f>IF(separador &gt; 0, LEFT(E426,separador - 1), E426)</f>
        <v>Woodside</v>
      </c>
      <c r="G426" s="4" t="str">
        <f>IF(separador &gt; 0, RIGHT(E426,largo -separador - 1),"-")</f>
        <v>NY 11377</v>
      </c>
      <c r="H426" s="4" t="s">
        <v>4546</v>
      </c>
      <c r="I426" s="4" t="s">
        <v>3548</v>
      </c>
      <c r="J426" s="13">
        <v>43587.292291666665</v>
      </c>
      <c r="K426" s="4" t="s">
        <v>3670</v>
      </c>
      <c r="M426" s="4">
        <f>IFERROR(FIND(",",E426),0)</f>
        <v>9</v>
      </c>
      <c r="N426" s="4">
        <f>LEN(E426)</f>
        <v>18</v>
      </c>
    </row>
    <row r="427" spans="1:14" outlineLevel="2" x14ac:dyDescent="0.3">
      <c r="A427" t="s">
        <v>5115</v>
      </c>
      <c r="B427" t="s">
        <v>443</v>
      </c>
      <c r="C427" s="1">
        <v>35729</v>
      </c>
      <c r="D427" t="s">
        <v>1879</v>
      </c>
      <c r="E427" t="s">
        <v>1880</v>
      </c>
      <c r="F427" t="str">
        <f>IF(separador &gt; 0, LEFT(E427,separador - 1), E427)</f>
        <v>8272 Cobblestone Dr.</v>
      </c>
      <c r="G427" t="str">
        <f>IF(separador &gt; 0, RIGHT(E427,largo -separador - 1),"-")</f>
        <v>-</v>
      </c>
      <c r="H427" t="s">
        <v>4111</v>
      </c>
      <c r="I427" t="s">
        <v>3124</v>
      </c>
      <c r="J427" s="2">
        <v>41839.453333333331</v>
      </c>
      <c r="K427" t="s">
        <v>3670</v>
      </c>
      <c r="M427">
        <f>IFERROR(FIND(",",E427),0)</f>
        <v>0</v>
      </c>
      <c r="N427">
        <f>LEN(E427)</f>
        <v>20</v>
      </c>
    </row>
    <row r="428" spans="1:14" outlineLevel="2" x14ac:dyDescent="0.3">
      <c r="A428" s="4" t="s">
        <v>4807</v>
      </c>
      <c r="B428" s="4" t="s">
        <v>135</v>
      </c>
      <c r="C428" s="12">
        <v>35507</v>
      </c>
      <c r="D428" s="4" t="s">
        <v>1264</v>
      </c>
      <c r="E428" s="4" t="s">
        <v>1265</v>
      </c>
      <c r="F428" s="4" t="str">
        <f>IF(separador &gt; 0, LEFT(E428,separador - 1), E428)</f>
        <v>Bakersfield</v>
      </c>
      <c r="G428" s="4" t="str">
        <f>IF(separador &gt; 0, RIGHT(E428,largo -separador - 1),"-")</f>
        <v>CA 93309</v>
      </c>
      <c r="H428" s="4" t="s">
        <v>3803</v>
      </c>
      <c r="I428" s="4" t="s">
        <v>2821</v>
      </c>
      <c r="J428" s="13">
        <v>41626.338495370372</v>
      </c>
      <c r="K428" s="4" t="s">
        <v>3670</v>
      </c>
      <c r="M428" s="4">
        <f>IFERROR(FIND(",",E428),0)</f>
        <v>12</v>
      </c>
      <c r="N428" s="4">
        <f>LEN(E428)</f>
        <v>21</v>
      </c>
    </row>
    <row r="429" spans="1:14" outlineLevel="2" x14ac:dyDescent="0.3">
      <c r="A429" t="s">
        <v>4952</v>
      </c>
      <c r="B429" t="s">
        <v>280</v>
      </c>
      <c r="C429" s="1">
        <v>35354</v>
      </c>
      <c r="D429" t="s">
        <v>1554</v>
      </c>
      <c r="E429" t="s">
        <v>1555</v>
      </c>
      <c r="F429" t="str">
        <f>IF(separador &gt; 0, LEFT(E429,separador - 1), E429)</f>
        <v>19 Tallwood St.</v>
      </c>
      <c r="G429" t="str">
        <f>IF(separador &gt; 0, RIGHT(E429,largo -separador - 1),"-")</f>
        <v>-</v>
      </c>
      <c r="H429" t="s">
        <v>3948</v>
      </c>
      <c r="I429" t="s">
        <v>2963</v>
      </c>
      <c r="J429" s="2">
        <v>44315.003240740742</v>
      </c>
      <c r="K429" t="s">
        <v>3670</v>
      </c>
      <c r="M429">
        <f>IFERROR(FIND(",",E429),0)</f>
        <v>0</v>
      </c>
      <c r="N429">
        <f>LEN(E429)</f>
        <v>15</v>
      </c>
    </row>
    <row r="430" spans="1:14" outlineLevel="2" x14ac:dyDescent="0.3">
      <c r="A430" s="4" t="s">
        <v>5497</v>
      </c>
      <c r="B430" s="4" t="s">
        <v>825</v>
      </c>
      <c r="C430" s="12">
        <v>35186</v>
      </c>
      <c r="D430" s="4" t="s">
        <v>2452</v>
      </c>
      <c r="E430" s="4" t="s">
        <v>1015</v>
      </c>
      <c r="F430" s="4" t="str">
        <f>IF(separador &gt; 0, LEFT(E430,separador - 1), E430)</f>
        <v>Poughkeepsie</v>
      </c>
      <c r="G430" s="4" t="str">
        <f>IF(separador &gt; 0, RIGHT(E430,largo -separador - 1),"-")</f>
        <v>NY 12601</v>
      </c>
      <c r="H430" s="4" t="s">
        <v>4493</v>
      </c>
      <c r="I430" s="4" t="s">
        <v>3496</v>
      </c>
      <c r="J430" s="13">
        <v>44070.450092592589</v>
      </c>
      <c r="K430" s="4" t="s">
        <v>3670</v>
      </c>
      <c r="M430" s="4">
        <f>IFERROR(FIND(",",E430),0)</f>
        <v>13</v>
      </c>
      <c r="N430" s="4">
        <f>LEN(E430)</f>
        <v>22</v>
      </c>
    </row>
    <row r="431" spans="1:14" outlineLevel="2" x14ac:dyDescent="0.3">
      <c r="A431" t="s">
        <v>4984</v>
      </c>
      <c r="B431" t="s">
        <v>312</v>
      </c>
      <c r="C431" s="1">
        <v>35169</v>
      </c>
      <c r="D431" t="s">
        <v>1618</v>
      </c>
      <c r="E431" t="s">
        <v>1619</v>
      </c>
      <c r="F431" t="str">
        <f>IF(separador &gt; 0, LEFT(E431,separador - 1), E431)</f>
        <v>9697 South Mountainview Street</v>
      </c>
      <c r="G431" t="str">
        <f>IF(separador &gt; 0, RIGHT(E431,largo -separador - 1),"-")</f>
        <v>-</v>
      </c>
      <c r="H431" t="s">
        <v>3980</v>
      </c>
      <c r="I431" t="s">
        <v>2994</v>
      </c>
      <c r="J431" s="2">
        <v>43597.135520833333</v>
      </c>
      <c r="K431" t="s">
        <v>3670</v>
      </c>
      <c r="M431">
        <f>IFERROR(FIND(",",E431),0)</f>
        <v>0</v>
      </c>
      <c r="N431">
        <f>LEN(E431)</f>
        <v>30</v>
      </c>
    </row>
    <row r="432" spans="1:14" outlineLevel="2" x14ac:dyDescent="0.3">
      <c r="A432" s="4" t="s">
        <v>5624</v>
      </c>
      <c r="B432" s="4" t="s">
        <v>952</v>
      </c>
      <c r="C432" s="12">
        <v>34989</v>
      </c>
      <c r="D432" s="4" t="s">
        <v>2639</v>
      </c>
      <c r="E432" s="4" t="s">
        <v>2534</v>
      </c>
      <c r="F432" s="4" t="str">
        <f>IF(separador &gt; 0, LEFT(E432,separador - 1), E432)</f>
        <v>New York</v>
      </c>
      <c r="G432" s="4" t="str">
        <f>IF(separador &gt; 0, RIGHT(E432,largo -separador - 1),"-")</f>
        <v>NY 10128</v>
      </c>
      <c r="H432" s="4" t="s">
        <v>4620</v>
      </c>
      <c r="I432" s="4" t="s">
        <v>3621</v>
      </c>
      <c r="J432" s="13">
        <v>40657.379259259258</v>
      </c>
      <c r="K432" s="4" t="s">
        <v>3670</v>
      </c>
      <c r="M432" s="4">
        <f>IFERROR(FIND(",",E432),0)</f>
        <v>9</v>
      </c>
      <c r="N432" s="4">
        <f>LEN(E432)</f>
        <v>18</v>
      </c>
    </row>
    <row r="433" spans="1:14" outlineLevel="2" x14ac:dyDescent="0.3">
      <c r="A433" t="s">
        <v>5420</v>
      </c>
      <c r="B433" t="s">
        <v>748</v>
      </c>
      <c r="C433" s="1">
        <v>34977</v>
      </c>
      <c r="D433" t="s">
        <v>2311</v>
      </c>
      <c r="E433" t="s">
        <v>2312</v>
      </c>
      <c r="F433" t="str">
        <f>IF(separador &gt; 0, LEFT(E433,separador - 1), E433)</f>
        <v>25 Victoria Street</v>
      </c>
      <c r="G433" t="str">
        <f>IF(separador &gt; 0, RIGHT(E433,largo -separador - 1),"-")</f>
        <v>-</v>
      </c>
      <c r="H433" t="s">
        <v>4416</v>
      </c>
      <c r="I433" t="s">
        <v>3422</v>
      </c>
      <c r="J433" s="2">
        <v>42444.864236111112</v>
      </c>
      <c r="K433" t="s">
        <v>3670</v>
      </c>
      <c r="M433">
        <f>IFERROR(FIND(",",E433),0)</f>
        <v>0</v>
      </c>
      <c r="N433">
        <f>LEN(E433)</f>
        <v>18</v>
      </c>
    </row>
    <row r="434" spans="1:14" outlineLevel="2" x14ac:dyDescent="0.3">
      <c r="A434" s="4" t="s">
        <v>4772</v>
      </c>
      <c r="B434" s="4" t="s">
        <v>100</v>
      </c>
      <c r="C434" s="12">
        <v>34774</v>
      </c>
      <c r="D434" s="4" t="s">
        <v>1194</v>
      </c>
      <c r="E434" s="4" t="s">
        <v>1195</v>
      </c>
      <c r="F434" s="4" t="str">
        <f>IF(separador &gt; 0, LEFT(E434,separador - 1), E434)</f>
        <v>320 Victoria Road</v>
      </c>
      <c r="G434" s="4" t="str">
        <f>IF(separador &gt; 0, RIGHT(E434,largo -separador - 1),"-")</f>
        <v>-</v>
      </c>
      <c r="H434" s="4" t="s">
        <v>3768</v>
      </c>
      <c r="I434" s="4" t="s">
        <v>2786</v>
      </c>
      <c r="J434" s="13">
        <v>40048.343599537038</v>
      </c>
      <c r="K434" s="4" t="s">
        <v>3670</v>
      </c>
      <c r="M434" s="4">
        <f>IFERROR(FIND(",",E434),0)</f>
        <v>0</v>
      </c>
      <c r="N434" s="4">
        <f>LEN(E434)</f>
        <v>17</v>
      </c>
    </row>
    <row r="435" spans="1:14" outlineLevel="2" x14ac:dyDescent="0.3">
      <c r="A435" t="s">
        <v>4847</v>
      </c>
      <c r="B435" t="s">
        <v>175</v>
      </c>
      <c r="C435" s="1">
        <v>34761</v>
      </c>
      <c r="D435" t="s">
        <v>1344</v>
      </c>
      <c r="E435" t="s">
        <v>1345</v>
      </c>
      <c r="F435" t="str">
        <f>IF(separador &gt; 0, LEFT(E435,separador - 1), E435)</f>
        <v>Livermore</v>
      </c>
      <c r="G435" t="str">
        <f>IF(separador &gt; 0, RIGHT(E435,largo -separador - 1),"-")</f>
        <v>CA 94550</v>
      </c>
      <c r="H435" t="s">
        <v>3843</v>
      </c>
      <c r="I435" t="s">
        <v>2860</v>
      </c>
      <c r="J435" s="2">
        <v>40408.673796296294</v>
      </c>
      <c r="K435" t="s">
        <v>3670</v>
      </c>
      <c r="M435">
        <f>IFERROR(FIND(",",E435),0)</f>
        <v>10</v>
      </c>
      <c r="N435">
        <f>LEN(E435)</f>
        <v>19</v>
      </c>
    </row>
    <row r="436" spans="1:14" outlineLevel="2" x14ac:dyDescent="0.3">
      <c r="A436" s="4" t="s">
        <v>5051</v>
      </c>
      <c r="B436" s="4" t="s">
        <v>379</v>
      </c>
      <c r="C436" s="12">
        <v>34758</v>
      </c>
      <c r="D436" s="4" t="s">
        <v>1752</v>
      </c>
      <c r="E436" s="4" t="s">
        <v>1753</v>
      </c>
      <c r="F436" s="4" t="str">
        <f>IF(separador &gt; 0, LEFT(E436,separador - 1), E436)</f>
        <v>7939 Gates St.</v>
      </c>
      <c r="G436" s="4" t="str">
        <f>IF(separador &gt; 0, RIGHT(E436,largo -separador - 1),"-")</f>
        <v>-</v>
      </c>
      <c r="H436" s="4" t="s">
        <v>4047</v>
      </c>
      <c r="I436" s="4" t="s">
        <v>3061</v>
      </c>
      <c r="J436" s="13">
        <v>39376.229270833333</v>
      </c>
      <c r="K436" s="4" t="s">
        <v>3670</v>
      </c>
      <c r="M436" s="4">
        <f>IFERROR(FIND(",",E436),0)</f>
        <v>0</v>
      </c>
      <c r="N436" s="4">
        <f>LEN(E436)</f>
        <v>14</v>
      </c>
    </row>
    <row r="437" spans="1:14" outlineLevel="2" x14ac:dyDescent="0.3">
      <c r="A437" t="s">
        <v>4791</v>
      </c>
      <c r="B437" t="s">
        <v>119</v>
      </c>
      <c r="C437" s="1">
        <v>34730</v>
      </c>
      <c r="D437" t="s">
        <v>1232</v>
      </c>
      <c r="E437" t="s">
        <v>1233</v>
      </c>
      <c r="F437" t="str">
        <f>IF(separador &gt; 0, LEFT(E437,separador - 1), E437)</f>
        <v>YO59 8CP</v>
      </c>
      <c r="G437" t="str">
        <f>IF(separador &gt; 0, RIGHT(E437,largo -separador - 1),"-")</f>
        <v>-</v>
      </c>
      <c r="H437" t="s">
        <v>3787</v>
      </c>
      <c r="I437" t="s">
        <v>2805</v>
      </c>
      <c r="J437" s="2">
        <v>41503.104224537034</v>
      </c>
      <c r="K437" t="s">
        <v>3670</v>
      </c>
      <c r="M437">
        <f>IFERROR(FIND(",",E437),0)</f>
        <v>0</v>
      </c>
      <c r="N437">
        <f>LEN(E437)</f>
        <v>8</v>
      </c>
    </row>
    <row r="438" spans="1:14" outlineLevel="2" x14ac:dyDescent="0.3">
      <c r="A438" s="4" t="s">
        <v>5265</v>
      </c>
      <c r="B438" s="4" t="s">
        <v>593</v>
      </c>
      <c r="C438" s="12">
        <v>34631</v>
      </c>
      <c r="D438" s="4" t="s">
        <v>1960</v>
      </c>
      <c r="E438" s="4" t="s">
        <v>2106</v>
      </c>
      <c r="F438" s="4" t="str">
        <f>IF(separador &gt; 0, LEFT(E438,separador - 1), E438)</f>
        <v>E48 9XF</v>
      </c>
      <c r="G438" s="4" t="str">
        <f>IF(separador &gt; 0, RIGHT(E438,largo -separador - 1),"-")</f>
        <v>-</v>
      </c>
      <c r="H438" s="4" t="s">
        <v>4261</v>
      </c>
      <c r="I438" s="4" t="s">
        <v>3271</v>
      </c>
      <c r="J438" s="13">
        <v>42386.730578703704</v>
      </c>
      <c r="K438" s="4" t="s">
        <v>3670</v>
      </c>
      <c r="M438" s="4">
        <f>IFERROR(FIND(",",E438),0)</f>
        <v>0</v>
      </c>
      <c r="N438" s="4">
        <f>LEN(E438)</f>
        <v>7</v>
      </c>
    </row>
    <row r="439" spans="1:14" outlineLevel="2" x14ac:dyDescent="0.3">
      <c r="A439" t="s">
        <v>5021</v>
      </c>
      <c r="B439" t="s">
        <v>349</v>
      </c>
      <c r="C439" s="1">
        <v>34563</v>
      </c>
      <c r="D439" t="s">
        <v>1692</v>
      </c>
      <c r="E439" t="s">
        <v>1693</v>
      </c>
      <c r="F439" t="str">
        <f>IF(separador &gt; 0, LEFT(E439,separador - 1), E439)</f>
        <v>287 E. Woodland Ave.</v>
      </c>
      <c r="G439" t="str">
        <f>IF(separador &gt; 0, RIGHT(E439,largo -separador - 1),"-")</f>
        <v>-</v>
      </c>
      <c r="H439" t="s">
        <v>4017</v>
      </c>
      <c r="I439" t="s">
        <v>3031</v>
      </c>
      <c r="J439" s="2">
        <v>41991.866886574076</v>
      </c>
      <c r="K439" t="s">
        <v>3670</v>
      </c>
      <c r="M439">
        <f>IFERROR(FIND(",",E439),0)</f>
        <v>0</v>
      </c>
      <c r="N439">
        <f>LEN(E439)</f>
        <v>20</v>
      </c>
    </row>
    <row r="440" spans="1:14" outlineLevel="2" x14ac:dyDescent="0.3">
      <c r="A440" s="4" t="s">
        <v>5442</v>
      </c>
      <c r="B440" s="4" t="s">
        <v>770</v>
      </c>
      <c r="C440" s="12">
        <v>34340</v>
      </c>
      <c r="D440" s="4" t="s">
        <v>2343</v>
      </c>
      <c r="E440" s="4" t="s">
        <v>2344</v>
      </c>
      <c r="F440" s="4" t="str">
        <f>IF(separador &gt; 0, LEFT(E440,separador - 1), E440)</f>
        <v>Brooklyn</v>
      </c>
      <c r="G440" s="4" t="str">
        <f>IF(separador &gt; 0, RIGHT(E440,largo -separador - 1),"-")</f>
        <v>NY 11215</v>
      </c>
      <c r="H440" s="4" t="s">
        <v>4438</v>
      </c>
      <c r="I440" s="4" t="s">
        <v>3442</v>
      </c>
      <c r="J440" s="13">
        <v>40501.422175925924</v>
      </c>
      <c r="K440" s="4" t="s">
        <v>3670</v>
      </c>
      <c r="M440" s="4">
        <f>IFERROR(FIND(",",E440),0)</f>
        <v>9</v>
      </c>
      <c r="N440" s="4">
        <f>LEN(E440)</f>
        <v>18</v>
      </c>
    </row>
    <row r="441" spans="1:14" outlineLevel="2" x14ac:dyDescent="0.3">
      <c r="A441" t="s">
        <v>5368</v>
      </c>
      <c r="B441" t="s">
        <v>696</v>
      </c>
      <c r="C441" s="1">
        <v>34333</v>
      </c>
      <c r="D441" t="s">
        <v>1132</v>
      </c>
      <c r="E441" t="s">
        <v>1960</v>
      </c>
      <c r="F441" t="str">
        <f>IF(separador &gt; 0, LEFT(E441,separador - 1), E441)</f>
        <v>London</v>
      </c>
      <c r="G441" t="str">
        <f>IF(separador &gt; 0, RIGHT(E441,largo -separador - 1),"-")</f>
        <v>-</v>
      </c>
      <c r="H441" t="s">
        <v>4364</v>
      </c>
      <c r="I441" t="s">
        <v>3372</v>
      </c>
      <c r="J441" s="2">
        <v>38920.365914351853</v>
      </c>
      <c r="K441" t="s">
        <v>3670</v>
      </c>
      <c r="M441">
        <f>IFERROR(FIND(",",E441),0)</f>
        <v>0</v>
      </c>
      <c r="N441">
        <f>LEN(E441)</f>
        <v>6</v>
      </c>
    </row>
    <row r="442" spans="1:14" outlineLevel="2" x14ac:dyDescent="0.3">
      <c r="A442" s="4" t="s">
        <v>5038</v>
      </c>
      <c r="B442" s="4" t="s">
        <v>366</v>
      </c>
      <c r="C442" s="12">
        <v>34272</v>
      </c>
      <c r="D442" s="4" t="s">
        <v>1726</v>
      </c>
      <c r="E442" s="4" t="s">
        <v>1727</v>
      </c>
      <c r="F442" s="4" t="str">
        <f>IF(separador &gt; 0, LEFT(E442,separador - 1), E442)</f>
        <v>7743 Boston Street</v>
      </c>
      <c r="G442" s="4" t="str">
        <f>IF(separador &gt; 0, RIGHT(E442,largo -separador - 1),"-")</f>
        <v>-</v>
      </c>
      <c r="H442" s="4" t="s">
        <v>4034</v>
      </c>
      <c r="I442" s="4" t="s">
        <v>3048</v>
      </c>
      <c r="J442" s="13">
        <v>44257.787569444445</v>
      </c>
      <c r="K442" s="4" t="s">
        <v>3670</v>
      </c>
      <c r="M442" s="4">
        <f>IFERROR(FIND(",",E442),0)</f>
        <v>0</v>
      </c>
      <c r="N442" s="4">
        <f>LEN(E442)</f>
        <v>18</v>
      </c>
    </row>
    <row r="443" spans="1:14" outlineLevel="2" x14ac:dyDescent="0.3">
      <c r="A443" t="s">
        <v>5125</v>
      </c>
      <c r="B443" t="s">
        <v>453</v>
      </c>
      <c r="C443" s="1">
        <v>34209</v>
      </c>
      <c r="D443" t="s">
        <v>1899</v>
      </c>
      <c r="E443" t="s">
        <v>1900</v>
      </c>
      <c r="F443" t="str">
        <f>IF(separador &gt; 0, LEFT(E443,separador - 1), E443)</f>
        <v>452 Ridge Lane</v>
      </c>
      <c r="G443" t="str">
        <f>IF(separador &gt; 0, RIGHT(E443,largo -separador - 1),"-")</f>
        <v>-</v>
      </c>
      <c r="H443" t="s">
        <v>4121</v>
      </c>
      <c r="I443" t="s">
        <v>3134</v>
      </c>
      <c r="J443" s="2">
        <v>43885.972546296296</v>
      </c>
      <c r="K443" t="s">
        <v>3670</v>
      </c>
      <c r="M443">
        <f>IFERROR(FIND(",",E443),0)</f>
        <v>0</v>
      </c>
      <c r="N443">
        <f>LEN(E443)</f>
        <v>14</v>
      </c>
    </row>
    <row r="444" spans="1:14" outlineLevel="2" x14ac:dyDescent="0.3">
      <c r="A444" s="4" t="s">
        <v>5332</v>
      </c>
      <c r="B444" s="4" t="s">
        <v>660</v>
      </c>
      <c r="C444" s="12">
        <v>34113</v>
      </c>
      <c r="D444" s="4" t="s">
        <v>2195</v>
      </c>
      <c r="E444" s="4" t="s">
        <v>1960</v>
      </c>
      <c r="F444" s="4" t="str">
        <f>IF(separador &gt; 0, LEFT(E444,separador - 1), E444)</f>
        <v>London</v>
      </c>
      <c r="G444" s="4" t="str">
        <f>IF(separador &gt; 0, RIGHT(E444,largo -separador - 1),"-")</f>
        <v>-</v>
      </c>
      <c r="H444" s="4" t="s">
        <v>4328</v>
      </c>
      <c r="I444" s="4" t="s">
        <v>3337</v>
      </c>
      <c r="J444" s="13">
        <v>39299.021851851852</v>
      </c>
      <c r="K444" s="4" t="s">
        <v>3670</v>
      </c>
      <c r="M444" s="4">
        <f>IFERROR(FIND(",",E444),0)</f>
        <v>0</v>
      </c>
      <c r="N444" s="4">
        <f>LEN(E444)</f>
        <v>6</v>
      </c>
    </row>
    <row r="445" spans="1:14" outlineLevel="2" x14ac:dyDescent="0.3">
      <c r="A445" t="s">
        <v>5416</v>
      </c>
      <c r="B445" t="s">
        <v>744</v>
      </c>
      <c r="C445" s="1">
        <v>34112</v>
      </c>
      <c r="D445" t="s">
        <v>2306</v>
      </c>
      <c r="E445" t="s">
        <v>1960</v>
      </c>
      <c r="F445" t="str">
        <f>IF(separador &gt; 0, LEFT(E445,separador - 1), E445)</f>
        <v>London</v>
      </c>
      <c r="G445" t="str">
        <f>IF(separador &gt; 0, RIGHT(E445,largo -separador - 1),"-")</f>
        <v>-</v>
      </c>
      <c r="H445" t="s">
        <v>4412</v>
      </c>
      <c r="I445" t="s">
        <v>3418</v>
      </c>
      <c r="J445" s="2">
        <v>40947.593622685185</v>
      </c>
      <c r="K445" t="s">
        <v>3670</v>
      </c>
      <c r="M445">
        <f>IFERROR(FIND(",",E445),0)</f>
        <v>0</v>
      </c>
      <c r="N445">
        <f>LEN(E445)</f>
        <v>6</v>
      </c>
    </row>
    <row r="446" spans="1:14" outlineLevel="2" x14ac:dyDescent="0.3">
      <c r="A446" s="4" t="s">
        <v>5195</v>
      </c>
      <c r="B446" s="4" t="s">
        <v>523</v>
      </c>
      <c r="C446" s="12">
        <v>34072</v>
      </c>
      <c r="D446" s="4" t="s">
        <v>2013</v>
      </c>
      <c r="E446" s="4" t="s">
        <v>2014</v>
      </c>
      <c r="F446" s="4" t="str">
        <f>IF(separador &gt; 0, LEFT(E446,separador - 1), E446)</f>
        <v>2 Richmond Road</v>
      </c>
      <c r="G446" s="4" t="str">
        <f>IF(separador &gt; 0, RIGHT(E446,largo -separador - 1),"-")</f>
        <v>-</v>
      </c>
      <c r="H446" s="4" t="s">
        <v>4191</v>
      </c>
      <c r="I446" s="4" t="s">
        <v>3203</v>
      </c>
      <c r="J446" s="13">
        <v>43123.631296296298</v>
      </c>
      <c r="K446" s="4" t="s">
        <v>3670</v>
      </c>
      <c r="M446" s="4">
        <f>IFERROR(FIND(",",E446),0)</f>
        <v>0</v>
      </c>
      <c r="N446" s="4">
        <f>LEN(E446)</f>
        <v>15</v>
      </c>
    </row>
    <row r="447" spans="1:14" outlineLevel="2" x14ac:dyDescent="0.3">
      <c r="A447" t="s">
        <v>5039</v>
      </c>
      <c r="B447" t="s">
        <v>367</v>
      </c>
      <c r="C447" s="1">
        <v>34052</v>
      </c>
      <c r="D447" t="s">
        <v>1728</v>
      </c>
      <c r="E447" t="s">
        <v>1729</v>
      </c>
      <c r="F447" t="str">
        <f>IF(separador &gt; 0, LEFT(E447,separador - 1), E447)</f>
        <v>9543 Marlborough Street</v>
      </c>
      <c r="G447" t="str">
        <f>IF(separador &gt; 0, RIGHT(E447,largo -separador - 1),"-")</f>
        <v>-</v>
      </c>
      <c r="H447" t="s">
        <v>4035</v>
      </c>
      <c r="I447" t="s">
        <v>3049</v>
      </c>
      <c r="J447" s="2">
        <v>43772.512962962966</v>
      </c>
      <c r="K447" t="s">
        <v>3670</v>
      </c>
      <c r="M447">
        <f>IFERROR(FIND(",",E447),0)</f>
        <v>0</v>
      </c>
      <c r="N447">
        <f>LEN(E447)</f>
        <v>23</v>
      </c>
    </row>
    <row r="448" spans="1:14" outlineLevel="2" x14ac:dyDescent="0.3">
      <c r="A448" s="4" t="s">
        <v>5219</v>
      </c>
      <c r="B448" s="4" t="s">
        <v>547</v>
      </c>
      <c r="C448" s="12">
        <v>34036</v>
      </c>
      <c r="D448" s="4" t="s">
        <v>2044</v>
      </c>
      <c r="E448" s="4" t="s">
        <v>2045</v>
      </c>
      <c r="F448" s="4" t="str">
        <f>IF(separador &gt; 0, LEFT(E448,separador - 1), E448)</f>
        <v>9829 York Road</v>
      </c>
      <c r="G448" s="4" t="str">
        <f>IF(separador &gt; 0, RIGHT(E448,largo -separador - 1),"-")</f>
        <v>-</v>
      </c>
      <c r="H448" s="4" t="s">
        <v>4215</v>
      </c>
      <c r="I448" s="4" t="s">
        <v>3227</v>
      </c>
      <c r="J448" s="13">
        <v>38926.931041666663</v>
      </c>
      <c r="K448" s="4" t="s">
        <v>3670</v>
      </c>
      <c r="M448" s="4">
        <f>IFERROR(FIND(",",E448),0)</f>
        <v>0</v>
      </c>
      <c r="N448" s="4">
        <f>LEN(E448)</f>
        <v>14</v>
      </c>
    </row>
    <row r="449" spans="1:14" outlineLevel="2" x14ac:dyDescent="0.3">
      <c r="A449" t="s">
        <v>5494</v>
      </c>
      <c r="B449" t="s">
        <v>822</v>
      </c>
      <c r="C449" s="1">
        <v>33989</v>
      </c>
      <c r="D449" t="s">
        <v>2446</v>
      </c>
      <c r="E449" t="s">
        <v>2447</v>
      </c>
      <c r="F449" t="str">
        <f>IF(separador &gt; 0, LEFT(E449,separador - 1), E449)</f>
        <v>Brooklyn</v>
      </c>
      <c r="G449" t="str">
        <f>IF(separador &gt; 0, RIGHT(E449,largo -separador - 1),"-")</f>
        <v>NY 11228</v>
      </c>
      <c r="H449" t="s">
        <v>4490</v>
      </c>
      <c r="I449" t="s">
        <v>3493</v>
      </c>
      <c r="J449" s="2">
        <v>42586.212048611109</v>
      </c>
      <c r="K449" t="s">
        <v>3670</v>
      </c>
      <c r="M449">
        <f>IFERROR(FIND(",",E449),0)</f>
        <v>9</v>
      </c>
      <c r="N449">
        <f>LEN(E449)</f>
        <v>18</v>
      </c>
    </row>
    <row r="450" spans="1:14" outlineLevel="2" x14ac:dyDescent="0.3">
      <c r="A450" s="4" t="s">
        <v>5239</v>
      </c>
      <c r="B450" s="4" t="s">
        <v>567</v>
      </c>
      <c r="C450" s="12">
        <v>33987</v>
      </c>
      <c r="D450" s="4" t="s">
        <v>2071</v>
      </c>
      <c r="E450" s="4" t="s">
        <v>1960</v>
      </c>
      <c r="F450" s="4" t="str">
        <f>IF(separador &gt; 0, LEFT(E450,separador - 1), E450)</f>
        <v>London</v>
      </c>
      <c r="G450" s="4" t="str">
        <f>IF(separador &gt; 0, RIGHT(E450,largo -separador - 1),"-")</f>
        <v>-</v>
      </c>
      <c r="H450" s="4" t="s">
        <v>4235</v>
      </c>
      <c r="I450" s="4" t="s">
        <v>3247</v>
      </c>
      <c r="J450" s="13">
        <v>41606.849282407406</v>
      </c>
      <c r="K450" s="4" t="s">
        <v>3670</v>
      </c>
      <c r="M450" s="4">
        <f>IFERROR(FIND(",",E450),0)</f>
        <v>0</v>
      </c>
      <c r="N450" s="4">
        <f>LEN(E450)</f>
        <v>6</v>
      </c>
    </row>
    <row r="451" spans="1:14" outlineLevel="2" x14ac:dyDescent="0.3">
      <c r="A451" t="s">
        <v>5157</v>
      </c>
      <c r="B451" t="s">
        <v>485</v>
      </c>
      <c r="C451" s="1">
        <v>33965</v>
      </c>
      <c r="D451" t="s">
        <v>1960</v>
      </c>
      <c r="E451" t="s">
        <v>1963</v>
      </c>
      <c r="F451" t="str">
        <f>IF(separador &gt; 0, LEFT(E451,separador - 1), E451)</f>
        <v>N87 3AI</v>
      </c>
      <c r="G451" t="str">
        <f>IF(separador &gt; 0, RIGHT(E451,largo -separador - 1),"-")</f>
        <v>-</v>
      </c>
      <c r="H451" t="s">
        <v>4153</v>
      </c>
      <c r="I451" t="s">
        <v>2892</v>
      </c>
      <c r="J451" s="2">
        <v>38512.569224537037</v>
      </c>
      <c r="K451" t="s">
        <v>3670</v>
      </c>
      <c r="M451">
        <f>IFERROR(FIND(",",E451),0)</f>
        <v>0</v>
      </c>
      <c r="N451">
        <f>LEN(E451)</f>
        <v>7</v>
      </c>
    </row>
    <row r="452" spans="1:14" outlineLevel="2" x14ac:dyDescent="0.3">
      <c r="A452" s="4" t="s">
        <v>5467</v>
      </c>
      <c r="B452" s="4" t="s">
        <v>795</v>
      </c>
      <c r="C452" s="12">
        <v>33954</v>
      </c>
      <c r="D452" s="4" t="s">
        <v>2392</v>
      </c>
      <c r="E452" s="4" t="s">
        <v>2393</v>
      </c>
      <c r="F452" s="4" t="str">
        <f>IF(separador &gt; 0, LEFT(E452,separador - 1), E452)</f>
        <v>Bronx</v>
      </c>
      <c r="G452" s="4" t="str">
        <f>IF(separador &gt; 0, RIGHT(E452,largo -separador - 1),"-")</f>
        <v>NY 10467</v>
      </c>
      <c r="H452" s="4" t="s">
        <v>4463</v>
      </c>
      <c r="I452" s="4" t="s">
        <v>3466</v>
      </c>
      <c r="J452" s="13">
        <v>43631.964629629627</v>
      </c>
      <c r="K452" s="4" t="s">
        <v>3670</v>
      </c>
      <c r="M452" s="4">
        <f>IFERROR(FIND(",",E452),0)</f>
        <v>6</v>
      </c>
      <c r="N452" s="4">
        <f>LEN(E452)</f>
        <v>15</v>
      </c>
    </row>
    <row r="453" spans="1:14" outlineLevel="2" x14ac:dyDescent="0.3">
      <c r="A453" t="s">
        <v>4903</v>
      </c>
      <c r="B453" t="s">
        <v>231</v>
      </c>
      <c r="C453" s="1">
        <v>33936</v>
      </c>
      <c r="D453" t="s">
        <v>1456</v>
      </c>
      <c r="E453" t="s">
        <v>1457</v>
      </c>
      <c r="F453" t="str">
        <f>IF(separador &gt; 0, LEFT(E453,separador - 1), E453)</f>
        <v>1 Trusel Lane</v>
      </c>
      <c r="G453" t="str">
        <f>IF(separador &gt; 0, RIGHT(E453,largo -separador - 1),"-")</f>
        <v>-</v>
      </c>
      <c r="H453" t="s">
        <v>3899</v>
      </c>
      <c r="I453" t="s">
        <v>2914</v>
      </c>
      <c r="J453" s="2">
        <v>40271.263912037037</v>
      </c>
      <c r="K453" t="s">
        <v>3670</v>
      </c>
      <c r="M453">
        <f>IFERROR(FIND(",",E453),0)</f>
        <v>0</v>
      </c>
      <c r="N453">
        <f>LEN(E453)</f>
        <v>13</v>
      </c>
    </row>
    <row r="454" spans="1:14" outlineLevel="2" x14ac:dyDescent="0.3">
      <c r="A454" s="4" t="s">
        <v>4980</v>
      </c>
      <c r="B454" s="4" t="s">
        <v>308</v>
      </c>
      <c r="C454" s="12">
        <v>33744</v>
      </c>
      <c r="D454" s="4" t="s">
        <v>1610</v>
      </c>
      <c r="E454" s="4" t="s">
        <v>1611</v>
      </c>
      <c r="F454" s="4" t="str">
        <f>IF(separador &gt; 0, LEFT(E454,separador - 1), E454)</f>
        <v>685 High Noon Lane</v>
      </c>
      <c r="G454" s="4" t="str">
        <f>IF(separador &gt; 0, RIGHT(E454,largo -separador - 1),"-")</f>
        <v>-</v>
      </c>
      <c r="H454" s="4" t="s">
        <v>3976</v>
      </c>
      <c r="I454" s="4" t="s">
        <v>2990</v>
      </c>
      <c r="J454" s="13">
        <v>43941.971284722225</v>
      </c>
      <c r="K454" s="4" t="s">
        <v>3670</v>
      </c>
      <c r="M454" s="4">
        <f>IFERROR(FIND(",",E454),0)</f>
        <v>0</v>
      </c>
      <c r="N454" s="4">
        <f>LEN(E454)</f>
        <v>18</v>
      </c>
    </row>
    <row r="455" spans="1:14" outlineLevel="2" x14ac:dyDescent="0.3">
      <c r="A455" t="s">
        <v>5567</v>
      </c>
      <c r="B455" t="s">
        <v>895</v>
      </c>
      <c r="C455" s="1">
        <v>33632</v>
      </c>
      <c r="D455" t="s">
        <v>2582</v>
      </c>
      <c r="E455" t="s">
        <v>2468</v>
      </c>
      <c r="F455" t="str">
        <f>IF(separador &gt; 0, LEFT(E455,separador - 1), E455)</f>
        <v>Brooklyn</v>
      </c>
      <c r="G455" t="str">
        <f>IF(separador &gt; 0, RIGHT(E455,largo -separador - 1),"-")</f>
        <v>NY 11214</v>
      </c>
      <c r="H455" t="s">
        <v>4563</v>
      </c>
      <c r="I455" t="s">
        <v>3565</v>
      </c>
      <c r="J455" s="2">
        <v>42416.725277777776</v>
      </c>
      <c r="K455" t="s">
        <v>3670</v>
      </c>
      <c r="M455">
        <f>IFERROR(FIND(",",E455),0)</f>
        <v>9</v>
      </c>
      <c r="N455">
        <f>LEN(E455)</f>
        <v>18</v>
      </c>
    </row>
    <row r="456" spans="1:14" outlineLevel="2" x14ac:dyDescent="0.3">
      <c r="A456" s="4" t="s">
        <v>5285</v>
      </c>
      <c r="B456" s="4" t="s">
        <v>613</v>
      </c>
      <c r="C456" s="12">
        <v>33625</v>
      </c>
      <c r="D456" s="4" t="s">
        <v>2132</v>
      </c>
      <c r="E456" s="4" t="s">
        <v>2133</v>
      </c>
      <c r="F456" s="4" t="str">
        <f>IF(separador &gt; 0, LEFT(E456,separador - 1), E456)</f>
        <v>9496 Main Street</v>
      </c>
      <c r="G456" s="4" t="str">
        <f>IF(separador &gt; 0, RIGHT(E456,largo -separador - 1),"-")</f>
        <v>-</v>
      </c>
      <c r="H456" s="4" t="s">
        <v>4281</v>
      </c>
      <c r="I456" s="4" t="s">
        <v>3291</v>
      </c>
      <c r="J456" s="13">
        <v>43100.147129629629</v>
      </c>
      <c r="K456" s="4" t="s">
        <v>3670</v>
      </c>
      <c r="M456" s="4">
        <f>IFERROR(FIND(",",E456),0)</f>
        <v>0</v>
      </c>
      <c r="N456" s="4">
        <f>LEN(E456)</f>
        <v>16</v>
      </c>
    </row>
    <row r="457" spans="1:14" outlineLevel="2" x14ac:dyDescent="0.3">
      <c r="A457" t="s">
        <v>5223</v>
      </c>
      <c r="B457" t="s">
        <v>551</v>
      </c>
      <c r="C457" s="1">
        <v>33620</v>
      </c>
      <c r="D457" t="s">
        <v>1960</v>
      </c>
      <c r="E457" t="s">
        <v>2050</v>
      </c>
      <c r="F457" t="str">
        <f>IF(separador &gt; 0, LEFT(E457,separador - 1), E457)</f>
        <v>N19 4UF</v>
      </c>
      <c r="G457" t="str">
        <f>IF(separador &gt; 0, RIGHT(E457,largo -separador - 1),"-")</f>
        <v>-</v>
      </c>
      <c r="H457" t="s">
        <v>4219</v>
      </c>
      <c r="I457" t="s">
        <v>3231</v>
      </c>
      <c r="J457" s="2">
        <v>43817.920949074076</v>
      </c>
      <c r="K457" t="s">
        <v>3670</v>
      </c>
      <c r="M457">
        <f>IFERROR(FIND(",",E457),0)</f>
        <v>0</v>
      </c>
      <c r="N457">
        <f>LEN(E457)</f>
        <v>7</v>
      </c>
    </row>
    <row r="458" spans="1:14" outlineLevel="2" x14ac:dyDescent="0.3">
      <c r="A458" s="4" t="s">
        <v>5542</v>
      </c>
      <c r="B458" s="4" t="s">
        <v>870</v>
      </c>
      <c r="C458" s="12">
        <v>33565</v>
      </c>
      <c r="D458" s="4" t="s">
        <v>2541</v>
      </c>
      <c r="E458" s="4" t="s">
        <v>2542</v>
      </c>
      <c r="F458" s="4" t="str">
        <f>IF(separador &gt; 0, LEFT(E458,separador - 1), E458)</f>
        <v>Flushing</v>
      </c>
      <c r="G458" s="4" t="str">
        <f>IF(separador &gt; 0, RIGHT(E458,largo -separador - 1),"-")</f>
        <v>NY 11355</v>
      </c>
      <c r="H458" s="4" t="s">
        <v>4538</v>
      </c>
      <c r="I458" s="4" t="s">
        <v>3540</v>
      </c>
      <c r="J458" s="13">
        <v>41808.443206018521</v>
      </c>
      <c r="K458" s="4" t="s">
        <v>3670</v>
      </c>
      <c r="M458" s="4">
        <f>IFERROR(FIND(",",E458),0)</f>
        <v>9</v>
      </c>
      <c r="N458" s="4">
        <f>LEN(E458)</f>
        <v>18</v>
      </c>
    </row>
    <row r="459" spans="1:14" outlineLevel="2" x14ac:dyDescent="0.3">
      <c r="A459" t="s">
        <v>5282</v>
      </c>
      <c r="B459" t="s">
        <v>610</v>
      </c>
      <c r="C459" s="1">
        <v>33540</v>
      </c>
      <c r="D459" t="s">
        <v>2128</v>
      </c>
      <c r="E459" t="s">
        <v>2129</v>
      </c>
      <c r="F459" t="str">
        <f>IF(separador &gt; 0, LEFT(E459,separador - 1), E459)</f>
        <v>87 Main Road</v>
      </c>
      <c r="G459" t="str">
        <f>IF(separador &gt; 0, RIGHT(E459,largo -separador - 1),"-")</f>
        <v>-</v>
      </c>
      <c r="H459" t="s">
        <v>4278</v>
      </c>
      <c r="I459" t="s">
        <v>3288</v>
      </c>
      <c r="J459" s="2">
        <v>42282.564837962964</v>
      </c>
      <c r="K459" t="s">
        <v>3670</v>
      </c>
      <c r="M459">
        <f>IFERROR(FIND(",",E459),0)</f>
        <v>0</v>
      </c>
      <c r="N459">
        <f>LEN(E459)</f>
        <v>12</v>
      </c>
    </row>
    <row r="460" spans="1:14" outlineLevel="2" x14ac:dyDescent="0.3">
      <c r="A460" s="4" t="s">
        <v>4751</v>
      </c>
      <c r="B460" s="4" t="s">
        <v>79</v>
      </c>
      <c r="C460" s="12">
        <v>33469</v>
      </c>
      <c r="D460" s="4" t="s">
        <v>1152</v>
      </c>
      <c r="E460" s="4" t="s">
        <v>1153</v>
      </c>
      <c r="F460" s="4" t="str">
        <f>IF(separador &gt; 0, LEFT(E460,separador - 1), E460)</f>
        <v>19 Church Road</v>
      </c>
      <c r="G460" s="4" t="str">
        <f>IF(separador &gt; 0, RIGHT(E460,largo -separador - 1),"-")</f>
        <v>-</v>
      </c>
      <c r="H460" s="4" t="s">
        <v>3747</v>
      </c>
      <c r="I460" s="4" t="s">
        <v>2765</v>
      </c>
      <c r="J460" s="13">
        <v>42234.621712962966</v>
      </c>
      <c r="K460" s="4" t="s">
        <v>3670</v>
      </c>
      <c r="M460" s="4">
        <f>IFERROR(FIND(",",E460),0)</f>
        <v>0</v>
      </c>
      <c r="N460" s="4">
        <f>LEN(E460)</f>
        <v>14</v>
      </c>
    </row>
    <row r="461" spans="1:14" outlineLevel="2" x14ac:dyDescent="0.3">
      <c r="A461" t="s">
        <v>5241</v>
      </c>
      <c r="B461" t="s">
        <v>569</v>
      </c>
      <c r="C461" s="1">
        <v>33396</v>
      </c>
      <c r="D461" t="s">
        <v>1960</v>
      </c>
      <c r="E461" t="s">
        <v>2074</v>
      </c>
      <c r="F461" t="str">
        <f>IF(separador &gt; 0, LEFT(E461,separador - 1), E461)</f>
        <v>N49 2BS</v>
      </c>
      <c r="G461" t="str">
        <f>IF(separador &gt; 0, RIGHT(E461,largo -separador - 1),"-")</f>
        <v>-</v>
      </c>
      <c r="H461" t="s">
        <v>4237</v>
      </c>
      <c r="I461" t="s">
        <v>3249</v>
      </c>
      <c r="J461" s="2">
        <v>43494.343182870369</v>
      </c>
      <c r="K461" t="s">
        <v>3670</v>
      </c>
      <c r="M461">
        <f>IFERROR(FIND(",",E461),0)</f>
        <v>0</v>
      </c>
      <c r="N461">
        <f>LEN(E461)</f>
        <v>7</v>
      </c>
    </row>
    <row r="462" spans="1:14" outlineLevel="2" x14ac:dyDescent="0.3">
      <c r="A462" s="4" t="s">
        <v>5370</v>
      </c>
      <c r="B462" s="4" t="s">
        <v>698</v>
      </c>
      <c r="C462" s="12">
        <v>33286</v>
      </c>
      <c r="D462" s="4" t="s">
        <v>1960</v>
      </c>
      <c r="E462" s="4" t="s">
        <v>2245</v>
      </c>
      <c r="F462" s="4" t="str">
        <f>IF(separador &gt; 0, LEFT(E462,separador - 1), E462)</f>
        <v>SE59 1ZQ</v>
      </c>
      <c r="G462" s="4" t="str">
        <f>IF(separador &gt; 0, RIGHT(E462,largo -separador - 1),"-")</f>
        <v>-</v>
      </c>
      <c r="H462" s="4" t="s">
        <v>4366</v>
      </c>
      <c r="I462" s="4" t="s">
        <v>3374</v>
      </c>
      <c r="J462" s="13">
        <v>38473.09878472222</v>
      </c>
      <c r="K462" s="4" t="s">
        <v>3670</v>
      </c>
      <c r="M462" s="4">
        <f>IFERROR(FIND(",",E462),0)</f>
        <v>0</v>
      </c>
      <c r="N462" s="4">
        <f>LEN(E462)</f>
        <v>8</v>
      </c>
    </row>
    <row r="463" spans="1:14" outlineLevel="2" x14ac:dyDescent="0.3">
      <c r="A463" t="s">
        <v>5079</v>
      </c>
      <c r="B463" t="s">
        <v>407</v>
      </c>
      <c r="C463" s="1">
        <v>33229</v>
      </c>
      <c r="D463" t="s">
        <v>1808</v>
      </c>
      <c r="E463" t="s">
        <v>1809</v>
      </c>
      <c r="F463" t="str">
        <f>IF(separador &gt; 0, LEFT(E463,separador - 1), E463)</f>
        <v>8142 Amherst Circle</v>
      </c>
      <c r="G463" t="str">
        <f>IF(separador &gt; 0, RIGHT(E463,largo -separador - 1),"-")</f>
        <v>-</v>
      </c>
      <c r="H463" t="s">
        <v>4075</v>
      </c>
      <c r="I463" t="s">
        <v>3089</v>
      </c>
      <c r="J463" s="2">
        <v>43754.847939814812</v>
      </c>
      <c r="K463" t="s">
        <v>3670</v>
      </c>
      <c r="M463">
        <f>IFERROR(FIND(",",E463),0)</f>
        <v>0</v>
      </c>
      <c r="N463">
        <f>LEN(E463)</f>
        <v>19</v>
      </c>
    </row>
    <row r="464" spans="1:14" outlineLevel="2" x14ac:dyDescent="0.3">
      <c r="A464" s="4" t="s">
        <v>4759</v>
      </c>
      <c r="B464" s="4" t="s">
        <v>87</v>
      </c>
      <c r="C464" s="12">
        <v>33040</v>
      </c>
      <c r="D464" s="4" t="s">
        <v>1168</v>
      </c>
      <c r="E464" s="4" t="s">
        <v>1169</v>
      </c>
      <c r="F464" s="4" t="str">
        <f>IF(separador &gt; 0, LEFT(E464,separador - 1), E464)</f>
        <v>BLACKBURN</v>
      </c>
      <c r="G464" s="4" t="str">
        <f>IF(separador &gt; 0, RIGHT(E464,largo -separador - 1),"-")</f>
        <v>-</v>
      </c>
      <c r="H464" s="4" t="s">
        <v>3755</v>
      </c>
      <c r="I464" s="4" t="s">
        <v>2773</v>
      </c>
      <c r="J464" s="13">
        <v>40251.064270833333</v>
      </c>
      <c r="K464" s="4" t="s">
        <v>3670</v>
      </c>
      <c r="M464" s="4">
        <f>IFERROR(FIND(",",E464),0)</f>
        <v>0</v>
      </c>
      <c r="N464" s="4">
        <f>LEN(E464)</f>
        <v>9</v>
      </c>
    </row>
    <row r="465" spans="1:14" outlineLevel="2" x14ac:dyDescent="0.3">
      <c r="A465" t="s">
        <v>5268</v>
      </c>
      <c r="B465" t="s">
        <v>596</v>
      </c>
      <c r="C465" s="1">
        <v>32984</v>
      </c>
      <c r="D465" t="s">
        <v>1960</v>
      </c>
      <c r="E465" t="s">
        <v>2110</v>
      </c>
      <c r="F465" t="str">
        <f>IF(separador &gt; 0, LEFT(E465,separador - 1), E465)</f>
        <v>NW53 4EZ</v>
      </c>
      <c r="G465" t="str">
        <f>IF(separador &gt; 0, RIGHT(E465,largo -separador - 1),"-")</f>
        <v>-</v>
      </c>
      <c r="H465" t="s">
        <v>4264</v>
      </c>
      <c r="I465" t="s">
        <v>3274</v>
      </c>
      <c r="J465" s="2">
        <v>40200.213240740741</v>
      </c>
      <c r="K465" t="s">
        <v>3670</v>
      </c>
      <c r="M465">
        <f>IFERROR(FIND(",",E465),0)</f>
        <v>0</v>
      </c>
      <c r="N465">
        <f>LEN(E465)</f>
        <v>8</v>
      </c>
    </row>
    <row r="466" spans="1:14" outlineLevel="2" x14ac:dyDescent="0.3">
      <c r="A466" s="4" t="s">
        <v>4703</v>
      </c>
      <c r="B466" s="4" t="s">
        <v>31</v>
      </c>
      <c r="C466" s="12">
        <v>32613</v>
      </c>
      <c r="D466" s="4" t="s">
        <v>1056</v>
      </c>
      <c r="E466" s="4" t="s">
        <v>1057</v>
      </c>
      <c r="F466" s="4" t="str">
        <f>IF(separador &gt; 0, LEFT(E466,separador - 1), E466)</f>
        <v>East Lansing</v>
      </c>
      <c r="G466" s="4" t="str">
        <f>IF(separador &gt; 0, RIGHT(E466,largo -separador - 1),"-")</f>
        <v>MI 48823</v>
      </c>
      <c r="H466" s="4" t="s">
        <v>3699</v>
      </c>
      <c r="I466" s="4" t="s">
        <v>2717</v>
      </c>
      <c r="J466" s="13">
        <v>43593.501203703701</v>
      </c>
      <c r="K466" s="4" t="s">
        <v>3670</v>
      </c>
      <c r="M466" s="4">
        <f>IFERROR(FIND(",",E466),0)</f>
        <v>13</v>
      </c>
      <c r="N466" s="4">
        <f>LEN(E466)</f>
        <v>22</v>
      </c>
    </row>
    <row r="467" spans="1:14" outlineLevel="2" x14ac:dyDescent="0.3">
      <c r="A467" t="s">
        <v>5019</v>
      </c>
      <c r="B467" t="s">
        <v>347</v>
      </c>
      <c r="C467" s="1">
        <v>32427</v>
      </c>
      <c r="D467" t="s">
        <v>1688</v>
      </c>
      <c r="E467" t="s">
        <v>1689</v>
      </c>
      <c r="F467" t="str">
        <f>IF(separador &gt; 0, LEFT(E467,separador - 1), E467)</f>
        <v>26 Lawrence Drive</v>
      </c>
      <c r="G467" t="str">
        <f>IF(separador &gt; 0, RIGHT(E467,largo -separador - 1),"-")</f>
        <v>-</v>
      </c>
      <c r="H467" t="s">
        <v>4015</v>
      </c>
      <c r="I467" t="s">
        <v>3029</v>
      </c>
      <c r="J467" s="2">
        <v>41301.653761574074</v>
      </c>
      <c r="K467" t="s">
        <v>3670</v>
      </c>
      <c r="M467">
        <f>IFERROR(FIND(",",E467),0)</f>
        <v>0</v>
      </c>
      <c r="N467">
        <f>LEN(E467)</f>
        <v>17</v>
      </c>
    </row>
    <row r="468" spans="1:14" outlineLevel="2" x14ac:dyDescent="0.3">
      <c r="A468" s="4" t="s">
        <v>5452</v>
      </c>
      <c r="B468" s="4" t="s">
        <v>780</v>
      </c>
      <c r="C468" s="12">
        <v>32400</v>
      </c>
      <c r="D468" s="4" t="s">
        <v>2363</v>
      </c>
      <c r="E468" s="4" t="s">
        <v>2364</v>
      </c>
      <c r="F468" s="4" t="str">
        <f>IF(separador &gt; 0, LEFT(E468,separador - 1), E468)</f>
        <v>Huntington Station</v>
      </c>
      <c r="G468" s="4" t="str">
        <f>IF(separador &gt; 0, RIGHT(E468,largo -separador - 1),"-")</f>
        <v>NY 11746</v>
      </c>
      <c r="H468" s="4" t="s">
        <v>4448</v>
      </c>
      <c r="I468" s="4" t="s">
        <v>3451</v>
      </c>
      <c r="J468" s="13">
        <v>44319.212546296294</v>
      </c>
      <c r="K468" s="4" t="s">
        <v>3670</v>
      </c>
      <c r="M468" s="4">
        <f>IFERROR(FIND(",",E468),0)</f>
        <v>19</v>
      </c>
      <c r="N468" s="4">
        <f>LEN(E468)</f>
        <v>28</v>
      </c>
    </row>
    <row r="469" spans="1:14" outlineLevel="2" x14ac:dyDescent="0.3">
      <c r="A469" t="s">
        <v>5309</v>
      </c>
      <c r="B469" t="s">
        <v>637</v>
      </c>
      <c r="C469" s="1">
        <v>32362</v>
      </c>
      <c r="D469" t="s">
        <v>2164</v>
      </c>
      <c r="E469" t="s">
        <v>2165</v>
      </c>
      <c r="F469" t="str">
        <f>IF(separador &gt; 0, LEFT(E469,separador - 1), E469)</f>
        <v>9529 Springfield Road</v>
      </c>
      <c r="G469" t="str">
        <f>IF(separador &gt; 0, RIGHT(E469,largo -separador - 1),"-")</f>
        <v>-</v>
      </c>
      <c r="H469" t="s">
        <v>4305</v>
      </c>
      <c r="I469" t="s">
        <v>3314</v>
      </c>
      <c r="J469" s="2">
        <v>40541.297777777778</v>
      </c>
      <c r="K469" t="s">
        <v>3670</v>
      </c>
      <c r="M469">
        <f>IFERROR(FIND(",",E469),0)</f>
        <v>0</v>
      </c>
      <c r="N469">
        <f>LEN(E469)</f>
        <v>21</v>
      </c>
    </row>
    <row r="470" spans="1:14" outlineLevel="2" x14ac:dyDescent="0.3">
      <c r="A470" s="4" t="s">
        <v>5359</v>
      </c>
      <c r="B470" s="4" t="s">
        <v>687</v>
      </c>
      <c r="C470" s="12">
        <v>32308</v>
      </c>
      <c r="D470" s="4" t="s">
        <v>2231</v>
      </c>
      <c r="E470" s="4" t="s">
        <v>1960</v>
      </c>
      <c r="F470" s="4" t="str">
        <f>IF(separador &gt; 0, LEFT(E470,separador - 1), E470)</f>
        <v>London</v>
      </c>
      <c r="G470" s="4" t="str">
        <f>IF(separador &gt; 0, RIGHT(E470,largo -separador - 1),"-")</f>
        <v>-</v>
      </c>
      <c r="H470" s="4" t="s">
        <v>4355</v>
      </c>
      <c r="I470" s="4" t="s">
        <v>3363</v>
      </c>
      <c r="J470" s="13">
        <v>38927.117256944446</v>
      </c>
      <c r="K470" s="4" t="s">
        <v>3670</v>
      </c>
      <c r="M470" s="4">
        <f>IFERROR(FIND(",",E470),0)</f>
        <v>0</v>
      </c>
      <c r="N470" s="4">
        <f>LEN(E470)</f>
        <v>6</v>
      </c>
    </row>
    <row r="471" spans="1:14" outlineLevel="2" x14ac:dyDescent="0.3">
      <c r="A471" t="s">
        <v>5228</v>
      </c>
      <c r="B471" t="s">
        <v>556</v>
      </c>
      <c r="C471" s="1">
        <v>32204</v>
      </c>
      <c r="D471" t="s">
        <v>2056</v>
      </c>
      <c r="E471" t="s">
        <v>2057</v>
      </c>
      <c r="F471" t="str">
        <f>IF(separador &gt; 0, LEFT(E471,separador - 1), E471)</f>
        <v>60 Kingsway</v>
      </c>
      <c r="G471" t="str">
        <f>IF(separador &gt; 0, RIGHT(E471,largo -separador - 1),"-")</f>
        <v>-</v>
      </c>
      <c r="H471" t="s">
        <v>4224</v>
      </c>
      <c r="I471" t="s">
        <v>3236</v>
      </c>
      <c r="J471" s="2">
        <v>43376.085763888892</v>
      </c>
      <c r="K471" t="s">
        <v>3670</v>
      </c>
      <c r="M471">
        <f>IFERROR(FIND(",",E471),0)</f>
        <v>0</v>
      </c>
      <c r="N471">
        <f>LEN(E471)</f>
        <v>11</v>
      </c>
    </row>
    <row r="472" spans="1:14" outlineLevel="2" x14ac:dyDescent="0.3">
      <c r="A472" s="4" t="s">
        <v>5169</v>
      </c>
      <c r="B472" s="4" t="s">
        <v>497</v>
      </c>
      <c r="C472" s="12">
        <v>31966</v>
      </c>
      <c r="D472" s="4" t="s">
        <v>1960</v>
      </c>
      <c r="E472" s="4" t="s">
        <v>1979</v>
      </c>
      <c r="F472" s="4" t="str">
        <f>IF(separador &gt; 0, LEFT(E472,separador - 1), E472)</f>
        <v>N49 7QC</v>
      </c>
      <c r="G472" s="4" t="str">
        <f>IF(separador &gt; 0, RIGHT(E472,largo -separador - 1),"-")</f>
        <v>-</v>
      </c>
      <c r="H472" s="4" t="s">
        <v>4165</v>
      </c>
      <c r="I472" s="4" t="s">
        <v>3177</v>
      </c>
      <c r="J472" s="13">
        <v>41256.014849537038</v>
      </c>
      <c r="K472" s="4" t="s">
        <v>3670</v>
      </c>
      <c r="M472" s="4">
        <f>IFERROR(FIND(",",E472),0)</f>
        <v>0</v>
      </c>
      <c r="N472" s="4">
        <f>LEN(E472)</f>
        <v>7</v>
      </c>
    </row>
    <row r="473" spans="1:14" outlineLevel="2" x14ac:dyDescent="0.3">
      <c r="A473" t="s">
        <v>5589</v>
      </c>
      <c r="B473" t="s">
        <v>917</v>
      </c>
      <c r="C473" s="1">
        <v>31932</v>
      </c>
      <c r="D473" t="s">
        <v>2604</v>
      </c>
      <c r="E473" t="s">
        <v>2445</v>
      </c>
      <c r="F473" t="str">
        <f>IF(separador &gt; 0, LEFT(E473,separador - 1), E473)</f>
        <v>Bronx</v>
      </c>
      <c r="G473" t="str">
        <f>IF(separador &gt; 0, RIGHT(E473,largo -separador - 1),"-")</f>
        <v>NY 10466</v>
      </c>
      <c r="H473" t="s">
        <v>4585</v>
      </c>
      <c r="I473" t="s">
        <v>2755</v>
      </c>
      <c r="J473" s="2">
        <v>43777.393703703703</v>
      </c>
      <c r="K473" t="s">
        <v>3670</v>
      </c>
      <c r="M473">
        <f>IFERROR(FIND(",",E473),0)</f>
        <v>6</v>
      </c>
      <c r="N473">
        <f>LEN(E473)</f>
        <v>15</v>
      </c>
    </row>
    <row r="474" spans="1:14" outlineLevel="2" x14ac:dyDescent="0.3">
      <c r="A474" s="4" t="s">
        <v>5323</v>
      </c>
      <c r="B474" s="4" t="s">
        <v>651</v>
      </c>
      <c r="C474" s="12">
        <v>31902</v>
      </c>
      <c r="D474" s="4" t="s">
        <v>2183</v>
      </c>
      <c r="E474" s="4" t="s">
        <v>1960</v>
      </c>
      <c r="F474" s="4" t="str">
        <f>IF(separador &gt; 0, LEFT(E474,separador - 1), E474)</f>
        <v>London</v>
      </c>
      <c r="G474" s="4" t="str">
        <f>IF(separador &gt; 0, RIGHT(E474,largo -separador - 1),"-")</f>
        <v>-</v>
      </c>
      <c r="H474" s="4" t="s">
        <v>4319</v>
      </c>
      <c r="I474" s="4" t="s">
        <v>3328</v>
      </c>
      <c r="J474" s="13">
        <v>41064.895115740743</v>
      </c>
      <c r="K474" s="4" t="s">
        <v>3670</v>
      </c>
      <c r="M474" s="4">
        <f>IFERROR(FIND(",",E474),0)</f>
        <v>0</v>
      </c>
      <c r="N474" s="4">
        <f>LEN(E474)</f>
        <v>6</v>
      </c>
    </row>
    <row r="475" spans="1:14" outlineLevel="2" x14ac:dyDescent="0.3">
      <c r="A475" t="s">
        <v>5474</v>
      </c>
      <c r="B475" t="s">
        <v>802</v>
      </c>
      <c r="C475" s="1">
        <v>31783</v>
      </c>
      <c r="D475" t="s">
        <v>2406</v>
      </c>
      <c r="E475" t="s">
        <v>2407</v>
      </c>
      <c r="F475" t="str">
        <f>IF(separador &gt; 0, LEFT(E475,separador - 1), E475)</f>
        <v>Endicott</v>
      </c>
      <c r="G475" t="str">
        <f>IF(separador &gt; 0, RIGHT(E475,largo -separador - 1),"-")</f>
        <v>NY 13760</v>
      </c>
      <c r="H475" t="s">
        <v>4470</v>
      </c>
      <c r="I475" t="s">
        <v>3473</v>
      </c>
      <c r="J475" s="2">
        <v>38927.610682870371</v>
      </c>
      <c r="K475" t="s">
        <v>3670</v>
      </c>
      <c r="M475">
        <f>IFERROR(FIND(",",E475),0)</f>
        <v>9</v>
      </c>
      <c r="N475">
        <f>LEN(E475)</f>
        <v>18</v>
      </c>
    </row>
    <row r="476" spans="1:14" outlineLevel="2" x14ac:dyDescent="0.3">
      <c r="A476" s="4" t="s">
        <v>5489</v>
      </c>
      <c r="B476" s="4" t="s">
        <v>817</v>
      </c>
      <c r="C476" s="12">
        <v>31756</v>
      </c>
      <c r="D476" s="4" t="s">
        <v>2436</v>
      </c>
      <c r="E476" s="4" t="s">
        <v>2437</v>
      </c>
      <c r="F476" s="4" t="str">
        <f>IF(separador &gt; 0, LEFT(E476,separador - 1), E476)</f>
        <v>Brooklyn</v>
      </c>
      <c r="G476" s="4" t="str">
        <f>IF(separador &gt; 0, RIGHT(E476,largo -separador - 1),"-")</f>
        <v>NY 11207</v>
      </c>
      <c r="H476" s="4" t="s">
        <v>4485</v>
      </c>
      <c r="I476" s="4" t="s">
        <v>3488</v>
      </c>
      <c r="J476" s="13">
        <v>43587.988368055558</v>
      </c>
      <c r="K476" s="4" t="s">
        <v>3670</v>
      </c>
      <c r="M476" s="4">
        <f>IFERROR(FIND(",",E476),0)</f>
        <v>9</v>
      </c>
      <c r="N476" s="4">
        <f>LEN(E476)</f>
        <v>18</v>
      </c>
    </row>
    <row r="477" spans="1:14" outlineLevel="2" x14ac:dyDescent="0.3">
      <c r="A477" t="s">
        <v>5294</v>
      </c>
      <c r="B477" t="s">
        <v>622</v>
      </c>
      <c r="C477" s="1">
        <v>31716</v>
      </c>
      <c r="D477" t="s">
        <v>2144</v>
      </c>
      <c r="E477" t="s">
        <v>2145</v>
      </c>
      <c r="F477" t="str">
        <f>IF(separador &gt; 0, LEFT(E477,separador - 1), E477)</f>
        <v>763 The Green</v>
      </c>
      <c r="G477" t="str">
        <f>IF(separador &gt; 0, RIGHT(E477,largo -separador - 1),"-")</f>
        <v>-</v>
      </c>
      <c r="H477" t="s">
        <v>4290</v>
      </c>
      <c r="I477" t="s">
        <v>3299</v>
      </c>
      <c r="J477" s="2">
        <v>42025.406134259261</v>
      </c>
      <c r="K477" t="s">
        <v>3670</v>
      </c>
      <c r="M477">
        <f>IFERROR(FIND(",",E477),0)</f>
        <v>0</v>
      </c>
      <c r="N477">
        <f>LEN(E477)</f>
        <v>13</v>
      </c>
    </row>
    <row r="478" spans="1:14" outlineLevel="2" x14ac:dyDescent="0.3">
      <c r="A478" s="4" t="s">
        <v>5654</v>
      </c>
      <c r="B478" s="4" t="s">
        <v>982</v>
      </c>
      <c r="C478" s="12">
        <v>31678</v>
      </c>
      <c r="D478" s="4" t="s">
        <v>2669</v>
      </c>
      <c r="E478" s="4" t="s">
        <v>2389</v>
      </c>
      <c r="F478" s="4" t="str">
        <f>IF(separador &gt; 0, LEFT(E478,separador - 1), E478)</f>
        <v>Levittown</v>
      </c>
      <c r="G478" s="4" t="str">
        <f>IF(separador &gt; 0, RIGHT(E478,largo -separador - 1),"-")</f>
        <v>NY 11756</v>
      </c>
      <c r="H478" s="4" t="s">
        <v>4650</v>
      </c>
      <c r="I478" s="4" t="s">
        <v>3648</v>
      </c>
      <c r="J478" s="13">
        <v>43114.704756944448</v>
      </c>
      <c r="K478" s="4" t="s">
        <v>3670</v>
      </c>
      <c r="M478" s="4">
        <f>IFERROR(FIND(",",E478),0)</f>
        <v>10</v>
      </c>
      <c r="N478" s="4">
        <f>LEN(E478)</f>
        <v>19</v>
      </c>
    </row>
    <row r="479" spans="1:14" outlineLevel="2" x14ac:dyDescent="0.3">
      <c r="A479" t="s">
        <v>5396</v>
      </c>
      <c r="B479" t="s">
        <v>724</v>
      </c>
      <c r="C479" s="1">
        <v>31635</v>
      </c>
      <c r="D479" t="s">
        <v>2279</v>
      </c>
      <c r="E479" t="s">
        <v>2280</v>
      </c>
      <c r="F479" t="str">
        <f>IF(separador &gt; 0, LEFT(E479,separador - 1), E479)</f>
        <v>364 The Green</v>
      </c>
      <c r="G479" t="str">
        <f>IF(separador &gt; 0, RIGHT(E479,largo -separador - 1),"-")</f>
        <v>-</v>
      </c>
      <c r="H479" t="s">
        <v>4392</v>
      </c>
      <c r="I479" t="s">
        <v>3399</v>
      </c>
      <c r="J479" s="2">
        <v>41547.661215277774</v>
      </c>
      <c r="K479" t="s">
        <v>3670</v>
      </c>
      <c r="M479">
        <f>IFERROR(FIND(",",E479),0)</f>
        <v>0</v>
      </c>
      <c r="N479">
        <f>LEN(E479)</f>
        <v>13</v>
      </c>
    </row>
    <row r="480" spans="1:14" outlineLevel="2" x14ac:dyDescent="0.3">
      <c r="A480" s="4" t="s">
        <v>5469</v>
      </c>
      <c r="B480" s="4" t="s">
        <v>797</v>
      </c>
      <c r="C480" s="12">
        <v>31633</v>
      </c>
      <c r="D480" s="4" t="s">
        <v>2396</v>
      </c>
      <c r="E480" s="4" t="s">
        <v>2397</v>
      </c>
      <c r="F480" s="4" t="str">
        <f>IF(separador &gt; 0, LEFT(E480,separador - 1), E480)</f>
        <v>Fresh Meadows</v>
      </c>
      <c r="G480" s="4" t="str">
        <f>IF(separador &gt; 0, RIGHT(E480,largo -separador - 1),"-")</f>
        <v>NY 11365</v>
      </c>
      <c r="H480" s="4" t="s">
        <v>4465</v>
      </c>
      <c r="I480" s="4" t="s">
        <v>3468</v>
      </c>
      <c r="J480" s="13">
        <v>40023.896273148152</v>
      </c>
      <c r="K480" s="4" t="s">
        <v>3670</v>
      </c>
      <c r="M480" s="4">
        <f>IFERROR(FIND(",",E480),0)</f>
        <v>14</v>
      </c>
      <c r="N480" s="4">
        <f>LEN(E480)</f>
        <v>23</v>
      </c>
    </row>
    <row r="481" spans="1:14" outlineLevel="2" x14ac:dyDescent="0.3">
      <c r="A481" t="s">
        <v>5110</v>
      </c>
      <c r="B481" t="s">
        <v>438</v>
      </c>
      <c r="C481" s="1">
        <v>31627</v>
      </c>
      <c r="D481" t="s">
        <v>1869</v>
      </c>
      <c r="E481" t="s">
        <v>1870</v>
      </c>
      <c r="F481" t="str">
        <f>IF(separador &gt; 0, LEFT(E481,separador - 1), E481)</f>
        <v>16 Bayberry St.</v>
      </c>
      <c r="G481" t="str">
        <f>IF(separador &gt; 0, RIGHT(E481,largo -separador - 1),"-")</f>
        <v>-</v>
      </c>
      <c r="H481" t="s">
        <v>4106</v>
      </c>
      <c r="I481" t="s">
        <v>3119</v>
      </c>
      <c r="J481" s="2">
        <v>43326.842488425929</v>
      </c>
      <c r="K481" t="s">
        <v>3670</v>
      </c>
      <c r="M481">
        <f>IFERROR(FIND(",",E481),0)</f>
        <v>0</v>
      </c>
      <c r="N481">
        <f>LEN(E481)</f>
        <v>15</v>
      </c>
    </row>
    <row r="482" spans="1:14" outlineLevel="2" x14ac:dyDescent="0.3">
      <c r="A482" s="4" t="s">
        <v>4705</v>
      </c>
      <c r="B482" s="4" t="s">
        <v>33</v>
      </c>
      <c r="C482" s="12">
        <v>31584</v>
      </c>
      <c r="D482" s="4" t="s">
        <v>1060</v>
      </c>
      <c r="E482" s="4" t="s">
        <v>1061</v>
      </c>
      <c r="F482" s="4" t="str">
        <f>IF(separador &gt; 0, LEFT(E482,separador - 1), E482)</f>
        <v>Salt Lake City</v>
      </c>
      <c r="G482" s="4" t="str">
        <f>IF(separador &gt; 0, RIGHT(E482,largo -separador - 1),"-")</f>
        <v>UT 84119</v>
      </c>
      <c r="H482" s="4" t="s">
        <v>3701</v>
      </c>
      <c r="I482" s="4" t="s">
        <v>2719</v>
      </c>
      <c r="J482" s="13">
        <v>42687.620150462964</v>
      </c>
      <c r="K482" s="4" t="s">
        <v>3670</v>
      </c>
      <c r="M482" s="4">
        <f>IFERROR(FIND(",",E482),0)</f>
        <v>15</v>
      </c>
      <c r="N482" s="4">
        <f>LEN(E482)</f>
        <v>24</v>
      </c>
    </row>
    <row r="483" spans="1:14" outlineLevel="2" x14ac:dyDescent="0.3">
      <c r="A483" t="s">
        <v>4994</v>
      </c>
      <c r="B483" t="s">
        <v>322</v>
      </c>
      <c r="C483" s="1">
        <v>31582</v>
      </c>
      <c r="D483" t="s">
        <v>1638</v>
      </c>
      <c r="E483" t="s">
        <v>1639</v>
      </c>
      <c r="F483" t="str">
        <f>IF(separador &gt; 0, LEFT(E483,separador - 1), E483)</f>
        <v>63 Stillwater St.</v>
      </c>
      <c r="G483" t="str">
        <f>IF(separador &gt; 0, RIGHT(E483,largo -separador - 1),"-")</f>
        <v>-</v>
      </c>
      <c r="H483" t="s">
        <v>3990</v>
      </c>
      <c r="I483" t="s">
        <v>3004</v>
      </c>
      <c r="J483" s="2">
        <v>41730.881099537037</v>
      </c>
      <c r="K483" t="s">
        <v>3670</v>
      </c>
      <c r="M483">
        <f>IFERROR(FIND(",",E483),0)</f>
        <v>0</v>
      </c>
      <c r="N483">
        <f>LEN(E483)</f>
        <v>17</v>
      </c>
    </row>
    <row r="484" spans="1:14" outlineLevel="2" x14ac:dyDescent="0.3">
      <c r="A484" s="4" t="s">
        <v>5171</v>
      </c>
      <c r="B484" s="4" t="s">
        <v>499</v>
      </c>
      <c r="C484" s="12">
        <v>31573</v>
      </c>
      <c r="D484" s="4" t="s">
        <v>1981</v>
      </c>
      <c r="E484" s="4" t="s">
        <v>1982</v>
      </c>
      <c r="F484" s="4" t="str">
        <f>IF(separador &gt; 0, LEFT(E484,separador - 1), E484)</f>
        <v>6 Queen Street</v>
      </c>
      <c r="G484" s="4" t="str">
        <f>IF(separador &gt; 0, RIGHT(E484,largo -separador - 1),"-")</f>
        <v>-</v>
      </c>
      <c r="H484" s="4" t="s">
        <v>4167</v>
      </c>
      <c r="I484" s="4" t="s">
        <v>3179</v>
      </c>
      <c r="J484" s="13">
        <v>39359.855995370373</v>
      </c>
      <c r="K484" s="4" t="s">
        <v>3670</v>
      </c>
      <c r="M484" s="4">
        <f>IFERROR(FIND(",",E484),0)</f>
        <v>0</v>
      </c>
      <c r="N484" s="4">
        <f>LEN(E484)</f>
        <v>14</v>
      </c>
    </row>
    <row r="485" spans="1:14" outlineLevel="2" x14ac:dyDescent="0.3">
      <c r="A485" t="s">
        <v>5266</v>
      </c>
      <c r="B485" t="s">
        <v>594</v>
      </c>
      <c r="C485" s="1">
        <v>31545</v>
      </c>
      <c r="D485" t="s">
        <v>2107</v>
      </c>
      <c r="E485" t="s">
        <v>1960</v>
      </c>
      <c r="F485" t="str">
        <f>IF(separador &gt; 0, LEFT(E485,separador - 1), E485)</f>
        <v>London</v>
      </c>
      <c r="G485" t="str">
        <f>IF(separador &gt; 0, RIGHT(E485,largo -separador - 1),"-")</f>
        <v>-</v>
      </c>
      <c r="H485" t="s">
        <v>4262</v>
      </c>
      <c r="I485" t="s">
        <v>3272</v>
      </c>
      <c r="J485" s="2">
        <v>41438.115879629629</v>
      </c>
      <c r="K485" t="s">
        <v>3670</v>
      </c>
      <c r="M485">
        <f>IFERROR(FIND(",",E485),0)</f>
        <v>0</v>
      </c>
      <c r="N485">
        <f>LEN(E485)</f>
        <v>6</v>
      </c>
    </row>
    <row r="486" spans="1:14" outlineLevel="2" x14ac:dyDescent="0.3">
      <c r="A486" s="4" t="s">
        <v>5049</v>
      </c>
      <c r="B486" s="4" t="s">
        <v>377</v>
      </c>
      <c r="C486" s="12">
        <v>31235</v>
      </c>
      <c r="D486" s="4" t="s">
        <v>1748</v>
      </c>
      <c r="E486" s="4" t="s">
        <v>1749</v>
      </c>
      <c r="F486" s="4" t="str">
        <f>IF(separador &gt; 0, LEFT(E486,separador - 1), E486)</f>
        <v>7236 Albany Court</v>
      </c>
      <c r="G486" s="4" t="str">
        <f>IF(separador &gt; 0, RIGHT(E486,largo -separador - 1),"-")</f>
        <v>-</v>
      </c>
      <c r="H486" s="4" t="s">
        <v>4045</v>
      </c>
      <c r="I486" s="4" t="s">
        <v>3059</v>
      </c>
      <c r="J486" s="13">
        <v>41483.868437500001</v>
      </c>
      <c r="K486" s="4" t="s">
        <v>3670</v>
      </c>
      <c r="M486" s="4">
        <f>IFERROR(FIND(",",E486),0)</f>
        <v>0</v>
      </c>
      <c r="N486" s="4">
        <f>LEN(E486)</f>
        <v>17</v>
      </c>
    </row>
    <row r="487" spans="1:14" outlineLevel="2" x14ac:dyDescent="0.3">
      <c r="A487" t="s">
        <v>4720</v>
      </c>
      <c r="B487" t="s">
        <v>48</v>
      </c>
      <c r="C487" s="1">
        <v>31210</v>
      </c>
      <c r="D487" t="s">
        <v>1090</v>
      </c>
      <c r="E487" t="s">
        <v>1091</v>
      </c>
      <c r="F487" t="str">
        <f>IF(separador &gt; 0, LEFT(E487,separador - 1), E487)</f>
        <v>CANTERBURY</v>
      </c>
      <c r="G487" t="str">
        <f>IF(separador &gt; 0, RIGHT(E487,largo -separador - 1),"-")</f>
        <v>-</v>
      </c>
      <c r="H487" t="s">
        <v>3716</v>
      </c>
      <c r="I487" t="s">
        <v>2734</v>
      </c>
      <c r="J487" s="2">
        <v>41294.17496527778</v>
      </c>
      <c r="K487" t="s">
        <v>3670</v>
      </c>
      <c r="M487">
        <f>IFERROR(FIND(",",E487),0)</f>
        <v>0</v>
      </c>
      <c r="N487">
        <f>LEN(E487)</f>
        <v>10</v>
      </c>
    </row>
    <row r="488" spans="1:14" outlineLevel="2" x14ac:dyDescent="0.3">
      <c r="A488" s="4" t="s">
        <v>5242</v>
      </c>
      <c r="B488" s="4" t="s">
        <v>570</v>
      </c>
      <c r="C488" s="12">
        <v>31186</v>
      </c>
      <c r="D488" s="4" t="s">
        <v>2075</v>
      </c>
      <c r="E488" s="4" t="s">
        <v>1960</v>
      </c>
      <c r="F488" s="4" t="str">
        <f>IF(separador &gt; 0, LEFT(E488,separador - 1), E488)</f>
        <v>London</v>
      </c>
      <c r="G488" s="4" t="str">
        <f>IF(separador &gt; 0, RIGHT(E488,largo -separador - 1),"-")</f>
        <v>-</v>
      </c>
      <c r="H488" s="4" t="s">
        <v>4238</v>
      </c>
      <c r="I488" s="4" t="s">
        <v>3250</v>
      </c>
      <c r="J488" s="13">
        <v>43786.778877314813</v>
      </c>
      <c r="K488" s="4" t="s">
        <v>3670</v>
      </c>
      <c r="M488" s="4">
        <f>IFERROR(FIND(",",E488),0)</f>
        <v>0</v>
      </c>
      <c r="N488" s="4">
        <f>LEN(E488)</f>
        <v>6</v>
      </c>
    </row>
    <row r="489" spans="1:14" outlineLevel="2" x14ac:dyDescent="0.3">
      <c r="A489" t="s">
        <v>4968</v>
      </c>
      <c r="B489" t="s">
        <v>296</v>
      </c>
      <c r="C489" s="1">
        <v>31181</v>
      </c>
      <c r="D489" t="s">
        <v>1586</v>
      </c>
      <c r="E489" t="s">
        <v>1587</v>
      </c>
      <c r="F489" t="str">
        <f>IF(separador &gt; 0, LEFT(E489,separador - 1), E489)</f>
        <v>94 Valley View Rd.</v>
      </c>
      <c r="G489" t="str">
        <f>IF(separador &gt; 0, RIGHT(E489,largo -separador - 1),"-")</f>
        <v>-</v>
      </c>
      <c r="H489" t="s">
        <v>3964</v>
      </c>
      <c r="I489" t="s">
        <v>2978</v>
      </c>
      <c r="J489" s="2">
        <v>42902.938043981485</v>
      </c>
      <c r="K489" t="s">
        <v>3670</v>
      </c>
      <c r="M489">
        <f>IFERROR(FIND(",",E489),0)</f>
        <v>0</v>
      </c>
      <c r="N489">
        <f>LEN(E489)</f>
        <v>18</v>
      </c>
    </row>
    <row r="490" spans="1:14" outlineLevel="2" x14ac:dyDescent="0.3">
      <c r="A490" s="4" t="s">
        <v>4998</v>
      </c>
      <c r="B490" s="4" t="s">
        <v>326</v>
      </c>
      <c r="C490" s="12">
        <v>31152</v>
      </c>
      <c r="D490" s="4" t="s">
        <v>1646</v>
      </c>
      <c r="E490" s="4" t="s">
        <v>1647</v>
      </c>
      <c r="F490" s="4" t="str">
        <f>IF(separador &gt; 0, LEFT(E490,separador - 1), E490)</f>
        <v>556 Pleasant St.</v>
      </c>
      <c r="G490" s="4" t="str">
        <f>IF(separador &gt; 0, RIGHT(E490,largo -separador - 1),"-")</f>
        <v>-</v>
      </c>
      <c r="H490" s="4" t="s">
        <v>3994</v>
      </c>
      <c r="I490" s="4" t="s">
        <v>3008</v>
      </c>
      <c r="J490" s="13">
        <v>43159.121932870374</v>
      </c>
      <c r="K490" s="4" t="s">
        <v>3670</v>
      </c>
      <c r="M490" s="4">
        <f>IFERROR(FIND(",",E490),0)</f>
        <v>0</v>
      </c>
      <c r="N490" s="4">
        <f>LEN(E490)</f>
        <v>16</v>
      </c>
    </row>
    <row r="491" spans="1:14" outlineLevel="2" x14ac:dyDescent="0.3">
      <c r="A491" t="s">
        <v>5664</v>
      </c>
      <c r="B491" t="s">
        <v>992</v>
      </c>
      <c r="C491" s="1">
        <v>31140</v>
      </c>
      <c r="D491" t="s">
        <v>2679</v>
      </c>
      <c r="E491" t="s">
        <v>2458</v>
      </c>
      <c r="F491" t="str">
        <f>IF(separador &gt; 0, LEFT(E491,separador - 1), E491)</f>
        <v>South Richmond Hill</v>
      </c>
      <c r="G491" t="str">
        <f>IF(separador &gt; 0, RIGHT(E491,largo -separador - 1),"-")</f>
        <v>NY 11419</v>
      </c>
      <c r="H491" t="s">
        <v>4660</v>
      </c>
      <c r="I491" t="s">
        <v>3656</v>
      </c>
      <c r="J491" s="2">
        <v>38751.189583333333</v>
      </c>
      <c r="K491" t="s">
        <v>3670</v>
      </c>
      <c r="M491">
        <f>IFERROR(FIND(",",E491),0)</f>
        <v>20</v>
      </c>
      <c r="N491">
        <f>LEN(E491)</f>
        <v>29</v>
      </c>
    </row>
    <row r="492" spans="1:14" outlineLevel="2" x14ac:dyDescent="0.3">
      <c r="A492" s="4" t="s">
        <v>4718</v>
      </c>
      <c r="B492" s="4" t="s">
        <v>46</v>
      </c>
      <c r="C492" s="12">
        <v>31131</v>
      </c>
      <c r="D492" s="4" t="s">
        <v>1086</v>
      </c>
      <c r="E492" s="4" t="s">
        <v>1087</v>
      </c>
      <c r="F492" s="4" t="str">
        <f>IF(separador &gt; 0, LEFT(E492,separador - 1), E492)</f>
        <v>21 Mill Road</v>
      </c>
      <c r="G492" s="4" t="str">
        <f>IF(separador &gt; 0, RIGHT(E492,largo -separador - 1),"-")</f>
        <v>-</v>
      </c>
      <c r="H492" s="4" t="s">
        <v>3714</v>
      </c>
      <c r="I492" s="4" t="s">
        <v>2732</v>
      </c>
      <c r="J492" s="13">
        <v>44141.284236111111</v>
      </c>
      <c r="K492" s="4" t="s">
        <v>3670</v>
      </c>
      <c r="M492" s="4">
        <f>IFERROR(FIND(",",E492),0)</f>
        <v>0</v>
      </c>
      <c r="N492" s="4">
        <f>LEN(E492)</f>
        <v>12</v>
      </c>
    </row>
    <row r="493" spans="1:14" outlineLevel="2" x14ac:dyDescent="0.3">
      <c r="A493" t="s">
        <v>5378</v>
      </c>
      <c r="B493" t="s">
        <v>706</v>
      </c>
      <c r="C493" s="1">
        <v>31034</v>
      </c>
      <c r="D493" t="s">
        <v>2255</v>
      </c>
      <c r="E493" t="s">
        <v>2256</v>
      </c>
      <c r="F493" t="str">
        <f>IF(separador &gt; 0, LEFT(E493,separador - 1), E493)</f>
        <v>302 Kingsway</v>
      </c>
      <c r="G493" t="str">
        <f>IF(separador &gt; 0, RIGHT(E493,largo -separador - 1),"-")</f>
        <v>-</v>
      </c>
      <c r="H493" t="s">
        <v>4374</v>
      </c>
      <c r="I493" t="s">
        <v>2785</v>
      </c>
      <c r="J493" s="2">
        <v>40736.415648148148</v>
      </c>
      <c r="K493" t="s">
        <v>3670</v>
      </c>
      <c r="M493">
        <f>IFERROR(FIND(",",E493),0)</f>
        <v>0</v>
      </c>
      <c r="N493">
        <f>LEN(E493)</f>
        <v>12</v>
      </c>
    </row>
    <row r="494" spans="1:14" outlineLevel="2" x14ac:dyDescent="0.3">
      <c r="A494" s="4" t="s">
        <v>4753</v>
      </c>
      <c r="B494" s="4" t="s">
        <v>81</v>
      </c>
      <c r="C494" s="12">
        <v>31024</v>
      </c>
      <c r="D494" s="4" t="s">
        <v>1156</v>
      </c>
      <c r="E494" s="4" t="s">
        <v>1157</v>
      </c>
      <c r="F494" s="4" t="str">
        <f>IF(separador &gt; 0, LEFT(E494,separador - 1), E494)</f>
        <v>NORWICH</v>
      </c>
      <c r="G494" s="4" t="str">
        <f>IF(separador &gt; 0, RIGHT(E494,largo -separador - 1),"-")</f>
        <v>-</v>
      </c>
      <c r="H494" s="4" t="s">
        <v>3749</v>
      </c>
      <c r="I494" s="4" t="s">
        <v>2767</v>
      </c>
      <c r="J494" s="13">
        <v>43588.045694444445</v>
      </c>
      <c r="K494" s="4" t="s">
        <v>3670</v>
      </c>
      <c r="M494" s="4">
        <f>IFERROR(FIND(",",E494),0)</f>
        <v>0</v>
      </c>
      <c r="N494" s="4">
        <f>LEN(E494)</f>
        <v>7</v>
      </c>
    </row>
    <row r="495" spans="1:14" outlineLevel="2" x14ac:dyDescent="0.3">
      <c r="A495" t="s">
        <v>5176</v>
      </c>
      <c r="B495" t="s">
        <v>504</v>
      </c>
      <c r="C495" s="1">
        <v>30856</v>
      </c>
      <c r="D495" t="s">
        <v>1988</v>
      </c>
      <c r="E495" t="s">
        <v>1960</v>
      </c>
      <c r="F495" t="str">
        <f>IF(separador &gt; 0, LEFT(E495,separador - 1), E495)</f>
        <v>London</v>
      </c>
      <c r="G495" t="str">
        <f>IF(separador &gt; 0, RIGHT(E495,largo -separador - 1),"-")</f>
        <v>-</v>
      </c>
      <c r="H495" t="s">
        <v>4172</v>
      </c>
      <c r="I495" t="s">
        <v>3184</v>
      </c>
      <c r="J495" s="2">
        <v>39007.760833333334</v>
      </c>
      <c r="K495" t="s">
        <v>3670</v>
      </c>
      <c r="M495">
        <f>IFERROR(FIND(",",E495),0)</f>
        <v>0</v>
      </c>
      <c r="N495">
        <f>LEN(E495)</f>
        <v>6</v>
      </c>
    </row>
    <row r="496" spans="1:14" outlineLevel="2" x14ac:dyDescent="0.3">
      <c r="A496" s="4" t="s">
        <v>5111</v>
      </c>
      <c r="B496" s="4" t="s">
        <v>439</v>
      </c>
      <c r="C496" s="12">
        <v>30821</v>
      </c>
      <c r="D496" s="4" t="s">
        <v>1871</v>
      </c>
      <c r="E496" s="4" t="s">
        <v>1872</v>
      </c>
      <c r="F496" s="4" t="str">
        <f>IF(separador &gt; 0, LEFT(E496,separador - 1), E496)</f>
        <v>767 E. Gulf Avenue</v>
      </c>
      <c r="G496" s="4" t="str">
        <f>IF(separador &gt; 0, RIGHT(E496,largo -separador - 1),"-")</f>
        <v>-</v>
      </c>
      <c r="H496" s="4" t="s">
        <v>4107</v>
      </c>
      <c r="I496" s="4" t="s">
        <v>3120</v>
      </c>
      <c r="J496" s="13">
        <v>41601.40520833333</v>
      </c>
      <c r="K496" s="4" t="s">
        <v>3670</v>
      </c>
      <c r="M496" s="4">
        <f>IFERROR(FIND(",",E496),0)</f>
        <v>0</v>
      </c>
      <c r="N496" s="4">
        <f>LEN(E496)</f>
        <v>18</v>
      </c>
    </row>
    <row r="497" spans="1:14" outlineLevel="2" x14ac:dyDescent="0.3">
      <c r="A497" t="s">
        <v>5192</v>
      </c>
      <c r="B497" t="s">
        <v>520</v>
      </c>
      <c r="C497" s="1">
        <v>30797</v>
      </c>
      <c r="D497" t="s">
        <v>2009</v>
      </c>
      <c r="E497" t="s">
        <v>2010</v>
      </c>
      <c r="F497" t="str">
        <f>IF(separador &gt; 0, LEFT(E497,separador - 1), E497)</f>
        <v>47 Windsor Road</v>
      </c>
      <c r="G497" t="str">
        <f>IF(separador &gt; 0, RIGHT(E497,largo -separador - 1),"-")</f>
        <v>-</v>
      </c>
      <c r="H497" t="s">
        <v>4188</v>
      </c>
      <c r="I497" t="s">
        <v>3200</v>
      </c>
      <c r="J497" s="2">
        <v>39813.896956018521</v>
      </c>
      <c r="K497" t="s">
        <v>3670</v>
      </c>
      <c r="M497">
        <f>IFERROR(FIND(",",E497),0)</f>
        <v>0</v>
      </c>
      <c r="N497">
        <f>LEN(E497)</f>
        <v>15</v>
      </c>
    </row>
    <row r="498" spans="1:14" outlineLevel="2" x14ac:dyDescent="0.3">
      <c r="A498" s="4" t="s">
        <v>5214</v>
      </c>
      <c r="B498" s="4" t="s">
        <v>542</v>
      </c>
      <c r="C498" s="12">
        <v>30793</v>
      </c>
      <c r="D498" s="4" t="s">
        <v>1960</v>
      </c>
      <c r="E498" s="4" t="s">
        <v>2039</v>
      </c>
      <c r="F498" s="4" t="str">
        <f>IF(separador &gt; 0, LEFT(E498,separador - 1), E498)</f>
        <v>WC82 9HS</v>
      </c>
      <c r="G498" s="4" t="str">
        <f>IF(separador &gt; 0, RIGHT(E498,largo -separador - 1),"-")</f>
        <v>-</v>
      </c>
      <c r="H498" s="4" t="s">
        <v>4210</v>
      </c>
      <c r="I498" s="4" t="s">
        <v>3222</v>
      </c>
      <c r="J498" s="13">
        <v>38821.366747685184</v>
      </c>
      <c r="K498" s="4" t="s">
        <v>3670</v>
      </c>
      <c r="M498" s="4">
        <f>IFERROR(FIND(",",E498),0)</f>
        <v>0</v>
      </c>
      <c r="N498" s="4">
        <f>LEN(E498)</f>
        <v>8</v>
      </c>
    </row>
    <row r="499" spans="1:14" outlineLevel="2" x14ac:dyDescent="0.3">
      <c r="A499" t="s">
        <v>5574</v>
      </c>
      <c r="B499" t="s">
        <v>902</v>
      </c>
      <c r="C499" s="1">
        <v>30787</v>
      </c>
      <c r="D499" t="s">
        <v>2589</v>
      </c>
      <c r="E499" t="s">
        <v>2524</v>
      </c>
      <c r="F499" t="str">
        <f>IF(separador &gt; 0, LEFT(E499,separador - 1), E499)</f>
        <v>Brooklyn</v>
      </c>
      <c r="G499" t="str">
        <f>IF(separador &gt; 0, RIGHT(E499,largo -separador - 1),"-")</f>
        <v>NY 11234</v>
      </c>
      <c r="H499" t="s">
        <v>4570</v>
      </c>
      <c r="I499" t="s">
        <v>3572</v>
      </c>
      <c r="J499" s="2">
        <v>40531.633032407408</v>
      </c>
      <c r="K499" t="s">
        <v>3670</v>
      </c>
      <c r="M499">
        <f>IFERROR(FIND(",",E499),0)</f>
        <v>9</v>
      </c>
      <c r="N499">
        <f>LEN(E499)</f>
        <v>18</v>
      </c>
    </row>
    <row r="500" spans="1:14" outlineLevel="2" x14ac:dyDescent="0.3">
      <c r="A500" s="4" t="s">
        <v>5562</v>
      </c>
      <c r="B500" s="4" t="s">
        <v>890</v>
      </c>
      <c r="C500" s="12">
        <v>30755</v>
      </c>
      <c r="D500" s="4" t="s">
        <v>2577</v>
      </c>
      <c r="E500" s="4" t="s">
        <v>2354</v>
      </c>
      <c r="F500" s="4" t="str">
        <f>IF(separador &gt; 0, LEFT(E500,separador - 1), E500)</f>
        <v>Ithaca</v>
      </c>
      <c r="G500" s="4" t="str">
        <f>IF(separador &gt; 0, RIGHT(E500,largo -separador - 1),"-")</f>
        <v>NY 14850</v>
      </c>
      <c r="H500" s="4" t="s">
        <v>4558</v>
      </c>
      <c r="I500" s="4" t="s">
        <v>3560</v>
      </c>
      <c r="J500" s="13">
        <v>44202.688472222224</v>
      </c>
      <c r="K500" s="4" t="s">
        <v>3670</v>
      </c>
      <c r="M500" s="4">
        <f>IFERROR(FIND(",",E500),0)</f>
        <v>7</v>
      </c>
      <c r="N500" s="4">
        <f>LEN(E500)</f>
        <v>16</v>
      </c>
    </row>
    <row r="501" spans="1:14" outlineLevel="2" x14ac:dyDescent="0.3">
      <c r="A501" t="s">
        <v>4909</v>
      </c>
      <c r="B501" t="s">
        <v>237</v>
      </c>
      <c r="C501" s="1">
        <v>30752</v>
      </c>
      <c r="D501" t="s">
        <v>1468</v>
      </c>
      <c r="E501" t="s">
        <v>1469</v>
      </c>
      <c r="F501" t="str">
        <f>IF(separador &gt; 0, LEFT(E501,separador - 1), E501)</f>
        <v>72 Wild Rose Circle</v>
      </c>
      <c r="G501" t="str">
        <f>IF(separador &gt; 0, RIGHT(E501,largo -separador - 1),"-")</f>
        <v>-</v>
      </c>
      <c r="H501" t="s">
        <v>3905</v>
      </c>
      <c r="I501" t="s">
        <v>2920</v>
      </c>
      <c r="J501" s="2">
        <v>41486.103877314818</v>
      </c>
      <c r="K501" t="s">
        <v>3670</v>
      </c>
      <c r="M501">
        <f>IFERROR(FIND(",",E501),0)</f>
        <v>0</v>
      </c>
      <c r="N501">
        <f>LEN(E501)</f>
        <v>19</v>
      </c>
    </row>
    <row r="502" spans="1:14" outlineLevel="2" x14ac:dyDescent="0.3">
      <c r="A502" s="4" t="s">
        <v>4999</v>
      </c>
      <c r="B502" s="4" t="s">
        <v>327</v>
      </c>
      <c r="C502" s="12">
        <v>30681</v>
      </c>
      <c r="D502" s="4" t="s">
        <v>1648</v>
      </c>
      <c r="E502" s="4" t="s">
        <v>1649</v>
      </c>
      <c r="F502" s="4" t="str">
        <f>IF(separador &gt; 0, LEFT(E502,separador - 1), E502)</f>
        <v>31 Heritage Street</v>
      </c>
      <c r="G502" s="4" t="str">
        <f>IF(separador &gt; 0, RIGHT(E502,largo -separador - 1),"-")</f>
        <v>-</v>
      </c>
      <c r="H502" s="4" t="s">
        <v>3995</v>
      </c>
      <c r="I502" s="4" t="s">
        <v>3009</v>
      </c>
      <c r="J502" s="13">
        <v>42053.27134259259</v>
      </c>
      <c r="K502" s="4" t="s">
        <v>3670</v>
      </c>
      <c r="M502" s="4">
        <f>IFERROR(FIND(",",E502),0)</f>
        <v>0</v>
      </c>
      <c r="N502" s="4">
        <f>LEN(E502)</f>
        <v>18</v>
      </c>
    </row>
    <row r="503" spans="1:14" outlineLevel="2" x14ac:dyDescent="0.3">
      <c r="A503" t="s">
        <v>5345</v>
      </c>
      <c r="B503" t="s">
        <v>673</v>
      </c>
      <c r="C503" s="1">
        <v>30631</v>
      </c>
      <c r="D503" t="s">
        <v>2212</v>
      </c>
      <c r="E503" t="s">
        <v>2213</v>
      </c>
      <c r="F503" t="str">
        <f>IF(separador &gt; 0, LEFT(E503,separador - 1), E503)</f>
        <v>43 The Green</v>
      </c>
      <c r="G503" t="str">
        <f>IF(separador &gt; 0, RIGHT(E503,largo -separador - 1),"-")</f>
        <v>-</v>
      </c>
      <c r="H503" t="s">
        <v>4341</v>
      </c>
      <c r="I503" t="s">
        <v>3349</v>
      </c>
      <c r="J503" s="2">
        <v>43764.358194444445</v>
      </c>
      <c r="K503" t="s">
        <v>3670</v>
      </c>
      <c r="M503">
        <f>IFERROR(FIND(",",E503),0)</f>
        <v>0</v>
      </c>
      <c r="N503">
        <f>LEN(E503)</f>
        <v>12</v>
      </c>
    </row>
    <row r="504" spans="1:14" outlineLevel="2" x14ac:dyDescent="0.3">
      <c r="A504" s="4" t="s">
        <v>5238</v>
      </c>
      <c r="B504" s="4" t="s">
        <v>566</v>
      </c>
      <c r="C504" s="12">
        <v>30605</v>
      </c>
      <c r="D504" s="4" t="s">
        <v>1960</v>
      </c>
      <c r="E504" s="4" t="s">
        <v>2070</v>
      </c>
      <c r="F504" s="4" t="str">
        <f>IF(separador &gt; 0, LEFT(E504,separador - 1), E504)</f>
        <v>SE85 6RQ</v>
      </c>
      <c r="G504" s="4" t="str">
        <f>IF(separador &gt; 0, RIGHT(E504,largo -separador - 1),"-")</f>
        <v>-</v>
      </c>
      <c r="H504" s="4" t="s">
        <v>4234</v>
      </c>
      <c r="I504" s="4" t="s">
        <v>3246</v>
      </c>
      <c r="J504" s="13">
        <v>40857.18849537037</v>
      </c>
      <c r="K504" s="4" t="s">
        <v>3670</v>
      </c>
      <c r="M504" s="4">
        <f>IFERROR(FIND(",",E504),0)</f>
        <v>0</v>
      </c>
      <c r="N504" s="4">
        <f>LEN(E504)</f>
        <v>8</v>
      </c>
    </row>
    <row r="505" spans="1:14" outlineLevel="2" x14ac:dyDescent="0.3">
      <c r="A505" t="s">
        <v>5326</v>
      </c>
      <c r="B505" t="s">
        <v>654</v>
      </c>
      <c r="C505" s="1">
        <v>30538</v>
      </c>
      <c r="D505" t="s">
        <v>2187</v>
      </c>
      <c r="E505" t="s">
        <v>1960</v>
      </c>
      <c r="F505" t="str">
        <f>IF(separador &gt; 0, LEFT(E505,separador - 1), E505)</f>
        <v>London</v>
      </c>
      <c r="G505" t="str">
        <f>IF(separador &gt; 0, RIGHT(E505,largo -separador - 1),"-")</f>
        <v>-</v>
      </c>
      <c r="H505" t="s">
        <v>4322</v>
      </c>
      <c r="I505" t="s">
        <v>3331</v>
      </c>
      <c r="J505" s="2">
        <v>39571.325219907405</v>
      </c>
      <c r="K505" t="s">
        <v>3670</v>
      </c>
      <c r="M505">
        <f>IFERROR(FIND(",",E505),0)</f>
        <v>0</v>
      </c>
      <c r="N505">
        <f>LEN(E505)</f>
        <v>6</v>
      </c>
    </row>
    <row r="506" spans="1:14" outlineLevel="2" x14ac:dyDescent="0.3">
      <c r="A506" s="4" t="s">
        <v>5531</v>
      </c>
      <c r="B506" s="4" t="s">
        <v>859</v>
      </c>
      <c r="C506" s="12">
        <v>30437</v>
      </c>
      <c r="D506" s="4" t="s">
        <v>2519</v>
      </c>
      <c r="E506" s="4" t="s">
        <v>2520</v>
      </c>
      <c r="F506" s="4" t="str">
        <f>IF(separador &gt; 0, LEFT(E506,separador - 1), E506)</f>
        <v>North Tonawanda</v>
      </c>
      <c r="G506" s="4" t="str">
        <f>IF(separador &gt; 0, RIGHT(E506,largo -separador - 1),"-")</f>
        <v>NY 14120</v>
      </c>
      <c r="H506" s="4" t="s">
        <v>4527</v>
      </c>
      <c r="I506" s="4" t="s">
        <v>3529</v>
      </c>
      <c r="J506" s="13">
        <v>42675.536296296297</v>
      </c>
      <c r="K506" s="4" t="s">
        <v>3670</v>
      </c>
      <c r="M506" s="4">
        <f>IFERROR(FIND(",",E506),0)</f>
        <v>16</v>
      </c>
      <c r="N506" s="4">
        <f>LEN(E506)</f>
        <v>25</v>
      </c>
    </row>
    <row r="507" spans="1:14" outlineLevel="2" x14ac:dyDescent="0.3">
      <c r="A507" t="s">
        <v>5086</v>
      </c>
      <c r="B507" t="s">
        <v>414</v>
      </c>
      <c r="C507" s="1">
        <v>30429</v>
      </c>
      <c r="D507" t="s">
        <v>1821</v>
      </c>
      <c r="E507" t="s">
        <v>1822</v>
      </c>
      <c r="F507" t="str">
        <f>IF(separador &gt; 0, LEFT(E507,separador - 1), E507)</f>
        <v>7434 Second Dr.</v>
      </c>
      <c r="G507" t="str">
        <f>IF(separador &gt; 0, RIGHT(E507,largo -separador - 1),"-")</f>
        <v>-</v>
      </c>
      <c r="H507" t="s">
        <v>4082</v>
      </c>
      <c r="I507" t="s">
        <v>3096</v>
      </c>
      <c r="J507" s="2">
        <v>40984.58662037037</v>
      </c>
      <c r="K507" t="s">
        <v>3670</v>
      </c>
      <c r="M507">
        <f>IFERROR(FIND(",",E507),0)</f>
        <v>0</v>
      </c>
      <c r="N507">
        <f>LEN(E507)</f>
        <v>15</v>
      </c>
    </row>
    <row r="508" spans="1:14" outlineLevel="2" x14ac:dyDescent="0.3">
      <c r="A508" s="4" t="s">
        <v>5573</v>
      </c>
      <c r="B508" s="4" t="s">
        <v>901</v>
      </c>
      <c r="C508" s="12">
        <v>30390</v>
      </c>
      <c r="D508" s="4" t="s">
        <v>2588</v>
      </c>
      <c r="E508" s="4" t="s">
        <v>2435</v>
      </c>
      <c r="F508" s="4" t="str">
        <f>IF(separador &gt; 0, LEFT(E508,separador - 1), E508)</f>
        <v>Bronx</v>
      </c>
      <c r="G508" s="4" t="str">
        <f>IF(separador &gt; 0, RIGHT(E508,largo -separador - 1),"-")</f>
        <v>NY 10465</v>
      </c>
      <c r="H508" s="4" t="s">
        <v>4569</v>
      </c>
      <c r="I508" s="4" t="s">
        <v>3571</v>
      </c>
      <c r="J508" s="13">
        <v>38884.750451388885</v>
      </c>
      <c r="K508" s="4" t="s">
        <v>3670</v>
      </c>
      <c r="M508" s="4">
        <f>IFERROR(FIND(",",E508),0)</f>
        <v>6</v>
      </c>
      <c r="N508" s="4">
        <f>LEN(E508)</f>
        <v>15</v>
      </c>
    </row>
    <row r="509" spans="1:14" outlineLevel="2" x14ac:dyDescent="0.3">
      <c r="A509" t="s">
        <v>5087</v>
      </c>
      <c r="B509" t="s">
        <v>415</v>
      </c>
      <c r="C509" s="1">
        <v>30321</v>
      </c>
      <c r="D509" t="s">
        <v>1823</v>
      </c>
      <c r="E509" t="s">
        <v>1824</v>
      </c>
      <c r="F509" t="str">
        <f>IF(separador &gt; 0, LEFT(E509,separador - 1), E509)</f>
        <v>8280 S. Pineknoll St.</v>
      </c>
      <c r="G509" t="str">
        <f>IF(separador &gt; 0, RIGHT(E509,largo -separador - 1),"-")</f>
        <v>-</v>
      </c>
      <c r="H509" t="s">
        <v>4083</v>
      </c>
      <c r="I509" t="s">
        <v>3097</v>
      </c>
      <c r="J509" s="2">
        <v>38742.513159722221</v>
      </c>
      <c r="K509" t="s">
        <v>3670</v>
      </c>
      <c r="M509">
        <f>IFERROR(FIND(",",E509),0)</f>
        <v>0</v>
      </c>
      <c r="N509">
        <f>LEN(E509)</f>
        <v>21</v>
      </c>
    </row>
    <row r="510" spans="1:14" outlineLevel="2" x14ac:dyDescent="0.3">
      <c r="A510" s="4" t="s">
        <v>5066</v>
      </c>
      <c r="B510" s="4" t="s">
        <v>394</v>
      </c>
      <c r="C510" s="12">
        <v>30288</v>
      </c>
      <c r="D510" s="4" t="s">
        <v>1782</v>
      </c>
      <c r="E510" s="4" t="s">
        <v>1783</v>
      </c>
      <c r="F510" s="4" t="str">
        <f>IF(separador &gt; 0, LEFT(E510,separador - 1), E510)</f>
        <v>9064 William St.</v>
      </c>
      <c r="G510" s="4" t="str">
        <f>IF(separador &gt; 0, RIGHT(E510,largo -separador - 1),"-")</f>
        <v>-</v>
      </c>
      <c r="H510" s="4" t="s">
        <v>4062</v>
      </c>
      <c r="I510" s="4" t="s">
        <v>3076</v>
      </c>
      <c r="J510" s="13">
        <v>40430.643969907411</v>
      </c>
      <c r="K510" s="4" t="s">
        <v>3670</v>
      </c>
      <c r="M510" s="4">
        <f>IFERROR(FIND(",",E510),0)</f>
        <v>0</v>
      </c>
      <c r="N510" s="4">
        <f>LEN(E510)</f>
        <v>16</v>
      </c>
    </row>
    <row r="511" spans="1:14" outlineLevel="2" x14ac:dyDescent="0.3">
      <c r="A511" t="s">
        <v>5081</v>
      </c>
      <c r="B511" t="s">
        <v>409</v>
      </c>
      <c r="C511" s="1">
        <v>30192</v>
      </c>
      <c r="D511" t="s">
        <v>1812</v>
      </c>
      <c r="E511" t="s">
        <v>1813</v>
      </c>
      <c r="F511" t="str">
        <f>IF(separador &gt; 0, LEFT(E511,separador - 1), E511)</f>
        <v>80 Harvey Drive</v>
      </c>
      <c r="G511" t="str">
        <f>IF(separador &gt; 0, RIGHT(E511,largo -separador - 1),"-")</f>
        <v>-</v>
      </c>
      <c r="H511" t="s">
        <v>4077</v>
      </c>
      <c r="I511" t="s">
        <v>3091</v>
      </c>
      <c r="J511" s="2">
        <v>42247.833796296298</v>
      </c>
      <c r="K511" t="s">
        <v>3670</v>
      </c>
      <c r="M511">
        <f>IFERROR(FIND(",",E511),0)</f>
        <v>0</v>
      </c>
      <c r="N511">
        <f>LEN(E511)</f>
        <v>15</v>
      </c>
    </row>
    <row r="512" spans="1:14" outlineLevel="2" x14ac:dyDescent="0.3">
      <c r="A512" s="4" t="s">
        <v>5590</v>
      </c>
      <c r="B512" s="4" t="s">
        <v>918</v>
      </c>
      <c r="C512" s="12">
        <v>30080</v>
      </c>
      <c r="D512" s="4" t="s">
        <v>2605</v>
      </c>
      <c r="E512" s="4" t="s">
        <v>2399</v>
      </c>
      <c r="F512" s="4" t="str">
        <f>IF(separador &gt; 0, LEFT(E512,separador - 1), E512)</f>
        <v>Jackson Heights</v>
      </c>
      <c r="G512" s="4" t="str">
        <f>IF(separador &gt; 0, RIGHT(E512,largo -separador - 1),"-")</f>
        <v>NY 11372</v>
      </c>
      <c r="H512" s="4" t="s">
        <v>4586</v>
      </c>
      <c r="I512" s="4" t="s">
        <v>3587</v>
      </c>
      <c r="J512" s="13">
        <v>42925.551944444444</v>
      </c>
      <c r="K512" s="4" t="s">
        <v>3670</v>
      </c>
      <c r="M512" s="4">
        <f>IFERROR(FIND(",",E512),0)</f>
        <v>16</v>
      </c>
      <c r="N512" s="4">
        <f>LEN(E512)</f>
        <v>25</v>
      </c>
    </row>
    <row r="513" spans="1:14" outlineLevel="2" x14ac:dyDescent="0.3">
      <c r="A513" t="s">
        <v>4857</v>
      </c>
      <c r="B513" t="s">
        <v>185</v>
      </c>
      <c r="C513" s="1">
        <v>30023</v>
      </c>
      <c r="D513" t="s">
        <v>1364</v>
      </c>
      <c r="E513" t="s">
        <v>1365</v>
      </c>
      <c r="F513" t="str">
        <f>IF(separador &gt; 0, LEFT(E513,separador - 1), E513)</f>
        <v>632 Manor Ave.</v>
      </c>
      <c r="G513" t="str">
        <f>IF(separador &gt; 0, RIGHT(E513,largo -separador - 1),"-")</f>
        <v>-</v>
      </c>
      <c r="H513" t="s">
        <v>3853</v>
      </c>
      <c r="I513" t="s">
        <v>2869</v>
      </c>
      <c r="J513" s="2">
        <v>38610.065729166665</v>
      </c>
      <c r="K513" t="s">
        <v>3670</v>
      </c>
      <c r="M513">
        <f>IFERROR(FIND(",",E513),0)</f>
        <v>0</v>
      </c>
      <c r="N513">
        <f>LEN(E513)</f>
        <v>14</v>
      </c>
    </row>
    <row r="514" spans="1:14" outlineLevel="2" x14ac:dyDescent="0.3">
      <c r="A514" s="4" t="s">
        <v>4780</v>
      </c>
      <c r="B514" s="4" t="s">
        <v>108</v>
      </c>
      <c r="C514" s="12">
        <v>29851</v>
      </c>
      <c r="D514" s="4" t="s">
        <v>1210</v>
      </c>
      <c r="E514" s="4" t="s">
        <v>1211</v>
      </c>
      <c r="F514" s="4" t="str">
        <f>IF(separador &gt; 0, LEFT(E514,separador - 1), E514)</f>
        <v>DURHAM</v>
      </c>
      <c r="G514" s="4" t="str">
        <f>IF(separador &gt; 0, RIGHT(E514,largo -separador - 1),"-")</f>
        <v>-</v>
      </c>
      <c r="H514" s="4" t="s">
        <v>3776</v>
      </c>
      <c r="I514" s="4" t="s">
        <v>2794</v>
      </c>
      <c r="J514" s="13">
        <v>40947.09039351852</v>
      </c>
      <c r="K514" s="4" t="s">
        <v>3670</v>
      </c>
      <c r="M514" s="4">
        <f>IFERROR(FIND(",",E514),0)</f>
        <v>0</v>
      </c>
      <c r="N514" s="4">
        <f>LEN(E514)</f>
        <v>6</v>
      </c>
    </row>
    <row r="515" spans="1:14" outlineLevel="2" x14ac:dyDescent="0.3">
      <c r="A515" t="s">
        <v>5637</v>
      </c>
      <c r="B515" t="s">
        <v>965</v>
      </c>
      <c r="C515" s="1">
        <v>29736</v>
      </c>
      <c r="D515" t="s">
        <v>2652</v>
      </c>
      <c r="E515" t="s">
        <v>2447</v>
      </c>
      <c r="F515" t="str">
        <f>IF(separador &gt; 0, LEFT(E515,separador - 1), E515)</f>
        <v>Brooklyn</v>
      </c>
      <c r="G515" t="str">
        <f>IF(separador &gt; 0, RIGHT(E515,largo -separador - 1),"-")</f>
        <v>NY 11228</v>
      </c>
      <c r="H515" t="s">
        <v>4633</v>
      </c>
      <c r="I515" t="s">
        <v>3633</v>
      </c>
      <c r="J515" s="2">
        <v>39072.367060185185</v>
      </c>
      <c r="K515" t="s">
        <v>3670</v>
      </c>
      <c r="M515">
        <f>IFERROR(FIND(",",E515),0)</f>
        <v>9</v>
      </c>
      <c r="N515">
        <f>LEN(E515)</f>
        <v>18</v>
      </c>
    </row>
    <row r="516" spans="1:14" outlineLevel="2" x14ac:dyDescent="0.3">
      <c r="A516" s="4" t="s">
        <v>5133</v>
      </c>
      <c r="B516" s="4" t="s">
        <v>461</v>
      </c>
      <c r="C516" s="12">
        <v>29681</v>
      </c>
      <c r="D516" s="4" t="s">
        <v>1915</v>
      </c>
      <c r="E516" s="4" t="s">
        <v>1916</v>
      </c>
      <c r="F516" s="4" t="str">
        <f>IF(separador &gt; 0, LEFT(E516,separador - 1), E516)</f>
        <v>Jacksonville</v>
      </c>
      <c r="G516" s="4" t="str">
        <f>IF(separador &gt; 0, RIGHT(E516,largo -separador - 1),"-")</f>
        <v>FL 32218</v>
      </c>
      <c r="H516" s="4" t="s">
        <v>4129</v>
      </c>
      <c r="I516" s="4" t="s">
        <v>3142</v>
      </c>
      <c r="J516" s="13">
        <v>43263.136238425926</v>
      </c>
      <c r="K516" s="4" t="s">
        <v>3670</v>
      </c>
      <c r="M516" s="4">
        <f>IFERROR(FIND(",",E516),0)</f>
        <v>13</v>
      </c>
      <c r="N516" s="4">
        <f>LEN(E516)</f>
        <v>22</v>
      </c>
    </row>
    <row r="517" spans="1:14" outlineLevel="2" x14ac:dyDescent="0.3">
      <c r="A517" t="s">
        <v>4694</v>
      </c>
      <c r="B517" t="s">
        <v>22</v>
      </c>
      <c r="C517" s="1">
        <v>29680</v>
      </c>
      <c r="D517" t="s">
        <v>1038</v>
      </c>
      <c r="E517" t="s">
        <v>1039</v>
      </c>
      <c r="F517" t="str">
        <f>IF(separador &gt; 0, LEFT(E517,separador - 1), E517)</f>
        <v>Eugene</v>
      </c>
      <c r="G517" t="str">
        <f>IF(separador &gt; 0, RIGHT(E517,largo -separador - 1),"-")</f>
        <v>OR 97402</v>
      </c>
      <c r="H517" t="s">
        <v>3690</v>
      </c>
      <c r="I517" t="s">
        <v>2708</v>
      </c>
      <c r="J517" s="2">
        <v>40310.165034722224</v>
      </c>
      <c r="K517" t="s">
        <v>3670</v>
      </c>
      <c r="M517">
        <f>IFERROR(FIND(",",E517),0)</f>
        <v>7</v>
      </c>
      <c r="N517">
        <f>LEN(E517)</f>
        <v>16</v>
      </c>
    </row>
    <row r="518" spans="1:14" outlineLevel="2" x14ac:dyDescent="0.3">
      <c r="A518" s="4" t="s">
        <v>5634</v>
      </c>
      <c r="B518" s="4" t="s">
        <v>962</v>
      </c>
      <c r="C518" s="12">
        <v>29658</v>
      </c>
      <c r="D518" s="4" t="s">
        <v>2649</v>
      </c>
      <c r="E518" s="4" t="s">
        <v>2566</v>
      </c>
      <c r="F518" s="4" t="str">
        <f>IF(separador &gt; 0, LEFT(E518,separador - 1), E518)</f>
        <v>Webster</v>
      </c>
      <c r="G518" s="4" t="str">
        <f>IF(separador &gt; 0, RIGHT(E518,largo -separador - 1),"-")</f>
        <v>NY 14580</v>
      </c>
      <c r="H518" s="4" t="s">
        <v>4630</v>
      </c>
      <c r="I518" s="4" t="s">
        <v>3630</v>
      </c>
      <c r="J518" s="13">
        <v>42669.099965277775</v>
      </c>
      <c r="K518" s="4" t="s">
        <v>3670</v>
      </c>
      <c r="M518" s="4">
        <f>IFERROR(FIND(",",E518),0)</f>
        <v>8</v>
      </c>
      <c r="N518" s="4">
        <f>LEN(E518)</f>
        <v>17</v>
      </c>
    </row>
    <row r="519" spans="1:14" outlineLevel="2" x14ac:dyDescent="0.3">
      <c r="A519" t="s">
        <v>4684</v>
      </c>
      <c r="B519" t="s">
        <v>12</v>
      </c>
      <c r="C519" s="1">
        <v>29651</v>
      </c>
      <c r="D519" t="s">
        <v>1018</v>
      </c>
      <c r="E519" t="s">
        <v>1019</v>
      </c>
      <c r="F519" t="str">
        <f>IF(separador &gt; 0, LEFT(E519,separador - 1), E519)</f>
        <v>Fair Lawn</v>
      </c>
      <c r="G519" t="str">
        <f>IF(separador &gt; 0, RIGHT(E519,largo -separador - 1),"-")</f>
        <v>NJ 07410</v>
      </c>
      <c r="H519" t="s">
        <v>3680</v>
      </c>
      <c r="I519" t="s">
        <v>2698</v>
      </c>
      <c r="J519" s="2">
        <v>40041.359224537038</v>
      </c>
      <c r="K519" t="s">
        <v>3670</v>
      </c>
      <c r="M519">
        <f>IFERROR(FIND(",",E519),0)</f>
        <v>10</v>
      </c>
      <c r="N519">
        <f>LEN(E519)</f>
        <v>19</v>
      </c>
    </row>
    <row r="520" spans="1:14" outlineLevel="2" x14ac:dyDescent="0.3">
      <c r="A520" s="4" t="s">
        <v>4949</v>
      </c>
      <c r="B520" s="4" t="s">
        <v>277</v>
      </c>
      <c r="C520" s="12">
        <v>29636</v>
      </c>
      <c r="D520" s="4" t="s">
        <v>1548</v>
      </c>
      <c r="E520" s="4" t="s">
        <v>1549</v>
      </c>
      <c r="F520" s="4" t="str">
        <f>IF(separador &gt; 0, LEFT(E520,separador - 1), E520)</f>
        <v>740 Jones St.</v>
      </c>
      <c r="G520" s="4" t="str">
        <f>IF(separador &gt; 0, RIGHT(E520,largo -separador - 1),"-")</f>
        <v>-</v>
      </c>
      <c r="H520" s="4" t="s">
        <v>3945</v>
      </c>
      <c r="I520" s="4" t="s">
        <v>2960</v>
      </c>
      <c r="J520" s="13">
        <v>41927.602175925924</v>
      </c>
      <c r="K520" s="4" t="s">
        <v>3670</v>
      </c>
      <c r="M520" s="4">
        <f>IFERROR(FIND(",",E520),0)</f>
        <v>0</v>
      </c>
      <c r="N520" s="4">
        <f>LEN(E520)</f>
        <v>13</v>
      </c>
    </row>
    <row r="521" spans="1:14" outlineLevel="2" x14ac:dyDescent="0.3">
      <c r="A521" t="s">
        <v>5098</v>
      </c>
      <c r="B521" t="s">
        <v>426</v>
      </c>
      <c r="C521" s="1">
        <v>29588</v>
      </c>
      <c r="D521" t="s">
        <v>1845</v>
      </c>
      <c r="E521" t="s">
        <v>1846</v>
      </c>
      <c r="F521" t="str">
        <f>IF(separador &gt; 0, LEFT(E521,separador - 1), E521)</f>
        <v>7845 Howard St.</v>
      </c>
      <c r="G521" t="str">
        <f>IF(separador &gt; 0, RIGHT(E521,largo -separador - 1),"-")</f>
        <v>-</v>
      </c>
      <c r="H521" t="s">
        <v>4094</v>
      </c>
      <c r="I521" t="s">
        <v>3107</v>
      </c>
      <c r="J521" s="2">
        <v>40567.450648148151</v>
      </c>
      <c r="K521" t="s">
        <v>3670</v>
      </c>
      <c r="M521">
        <f>IFERROR(FIND(",",E521),0)</f>
        <v>0</v>
      </c>
      <c r="N521">
        <f>LEN(E521)</f>
        <v>15</v>
      </c>
    </row>
    <row r="522" spans="1:14" outlineLevel="2" x14ac:dyDescent="0.3">
      <c r="A522" s="4" t="s">
        <v>4742</v>
      </c>
      <c r="B522" s="4" t="s">
        <v>70</v>
      </c>
      <c r="C522" s="12">
        <v>29414</v>
      </c>
      <c r="D522" s="4" t="s">
        <v>1134</v>
      </c>
      <c r="E522" s="4" t="s">
        <v>1135</v>
      </c>
      <c r="F522" s="4" t="str">
        <f>IF(separador &gt; 0, LEFT(E522,separador - 1), E522)</f>
        <v>512 Stanley Road</v>
      </c>
      <c r="G522" s="4" t="str">
        <f>IF(separador &gt; 0, RIGHT(E522,largo -separador - 1),"-")</f>
        <v>-</v>
      </c>
      <c r="H522" s="4" t="s">
        <v>3738</v>
      </c>
      <c r="I522" s="4" t="s">
        <v>2756</v>
      </c>
      <c r="J522" s="13">
        <v>39865.150231481479</v>
      </c>
      <c r="K522" s="4" t="s">
        <v>3670</v>
      </c>
      <c r="M522" s="4">
        <f>IFERROR(FIND(",",E522),0)</f>
        <v>0</v>
      </c>
      <c r="N522" s="4">
        <f>LEN(E522)</f>
        <v>16</v>
      </c>
    </row>
    <row r="523" spans="1:14" outlineLevel="2" x14ac:dyDescent="0.3">
      <c r="A523" t="s">
        <v>4937</v>
      </c>
      <c r="B523" t="s">
        <v>265</v>
      </c>
      <c r="C523" s="1">
        <v>29361</v>
      </c>
      <c r="D523" t="s">
        <v>1524</v>
      </c>
      <c r="E523" t="s">
        <v>1525</v>
      </c>
      <c r="F523" t="str">
        <f>IF(separador &gt; 0, LEFT(E523,separador - 1), E523)</f>
        <v>31 Temple Ave.</v>
      </c>
      <c r="G523" t="str">
        <f>IF(separador &gt; 0, RIGHT(E523,largo -separador - 1),"-")</f>
        <v>-</v>
      </c>
      <c r="H523" t="s">
        <v>3933</v>
      </c>
      <c r="I523" t="s">
        <v>2948</v>
      </c>
      <c r="J523" s="2">
        <v>38916.058587962965</v>
      </c>
      <c r="K523" t="s">
        <v>3670</v>
      </c>
      <c r="M523">
        <f>IFERROR(FIND(",",E523),0)</f>
        <v>0</v>
      </c>
      <c r="N523">
        <f>LEN(E523)</f>
        <v>14</v>
      </c>
    </row>
    <row r="524" spans="1:14" outlineLevel="2" x14ac:dyDescent="0.3">
      <c r="A524" s="4" t="s">
        <v>4693</v>
      </c>
      <c r="B524" s="4" t="s">
        <v>21</v>
      </c>
      <c r="C524" s="12">
        <v>29283</v>
      </c>
      <c r="D524" s="4" t="s">
        <v>1036</v>
      </c>
      <c r="E524" s="4" t="s">
        <v>1037</v>
      </c>
      <c r="F524" s="4" t="str">
        <f>IF(separador &gt; 0, LEFT(E524,separador - 1), E524)</f>
        <v>Morristown</v>
      </c>
      <c r="G524" s="4" t="str">
        <f>IF(separador &gt; 0, RIGHT(E524,largo -separador - 1),"-")</f>
        <v>NJ 07960</v>
      </c>
      <c r="H524" s="4" t="s">
        <v>3689</v>
      </c>
      <c r="I524" s="4" t="s">
        <v>2707</v>
      </c>
      <c r="J524" s="13">
        <v>42753.587488425925</v>
      </c>
      <c r="K524" s="4" t="s">
        <v>3670</v>
      </c>
      <c r="M524" s="4">
        <f>IFERROR(FIND(",",E524),0)</f>
        <v>11</v>
      </c>
      <c r="N524" s="4">
        <f>LEN(E524)</f>
        <v>20</v>
      </c>
    </row>
    <row r="525" spans="1:14" outlineLevel="2" x14ac:dyDescent="0.3">
      <c r="A525" t="s">
        <v>5449</v>
      </c>
      <c r="B525" t="s">
        <v>777</v>
      </c>
      <c r="C525" s="1">
        <v>29211</v>
      </c>
      <c r="D525" t="s">
        <v>2357</v>
      </c>
      <c r="E525" t="s">
        <v>2358</v>
      </c>
      <c r="F525" t="str">
        <f>IF(separador &gt; 0, LEFT(E525,separador - 1), E525)</f>
        <v>Brooklyn</v>
      </c>
      <c r="G525" t="str">
        <f>IF(separador &gt; 0, RIGHT(E525,largo -separador - 1),"-")</f>
        <v>NY 11208</v>
      </c>
      <c r="H525" t="s">
        <v>4445</v>
      </c>
      <c r="I525" t="s">
        <v>3448</v>
      </c>
      <c r="J525" s="2">
        <v>43970.168171296296</v>
      </c>
      <c r="K525" t="s">
        <v>3670</v>
      </c>
      <c r="M525">
        <f>IFERROR(FIND(",",E525),0)</f>
        <v>9</v>
      </c>
      <c r="N525">
        <f>LEN(E525)</f>
        <v>18</v>
      </c>
    </row>
    <row r="526" spans="1:14" outlineLevel="2" x14ac:dyDescent="0.3">
      <c r="A526" s="4" t="s">
        <v>5249</v>
      </c>
      <c r="B526" s="4" t="s">
        <v>577</v>
      </c>
      <c r="C526" s="12">
        <v>29199</v>
      </c>
      <c r="D526" s="4" t="s">
        <v>2084</v>
      </c>
      <c r="E526" s="4" t="s">
        <v>2085</v>
      </c>
      <c r="F526" s="4" t="str">
        <f>IF(separador &gt; 0, LEFT(E526,separador - 1), E526)</f>
        <v>42 Albert Road</v>
      </c>
      <c r="G526" s="4" t="str">
        <f>IF(separador &gt; 0, RIGHT(E526,largo -separador - 1),"-")</f>
        <v>-</v>
      </c>
      <c r="H526" s="4" t="s">
        <v>4245</v>
      </c>
      <c r="I526" s="4" t="s">
        <v>2751</v>
      </c>
      <c r="J526" s="13">
        <v>43645.656215277777</v>
      </c>
      <c r="K526" s="4" t="s">
        <v>3670</v>
      </c>
      <c r="M526" s="4">
        <f>IFERROR(FIND(",",E526),0)</f>
        <v>0</v>
      </c>
      <c r="N526" s="4">
        <f>LEN(E526)</f>
        <v>14</v>
      </c>
    </row>
    <row r="527" spans="1:14" outlineLevel="2" x14ac:dyDescent="0.3">
      <c r="A527" t="s">
        <v>5315</v>
      </c>
      <c r="B527" t="s">
        <v>643</v>
      </c>
      <c r="C527" s="1">
        <v>29189</v>
      </c>
      <c r="D527" t="s">
        <v>2172</v>
      </c>
      <c r="E527" t="s">
        <v>2173</v>
      </c>
      <c r="F527" t="str">
        <f>IF(separador &gt; 0, LEFT(E527,separador - 1), E527)</f>
        <v>89 York Road</v>
      </c>
      <c r="G527" t="str">
        <f>IF(separador &gt; 0, RIGHT(E527,largo -separador - 1),"-")</f>
        <v>-</v>
      </c>
      <c r="H527" t="s">
        <v>4311</v>
      </c>
      <c r="I527" t="s">
        <v>3320</v>
      </c>
      <c r="J527" s="2">
        <v>42292.856076388889</v>
      </c>
      <c r="K527" t="s">
        <v>3670</v>
      </c>
      <c r="M527">
        <f>IFERROR(FIND(",",E527),0)</f>
        <v>0</v>
      </c>
      <c r="N527">
        <f>LEN(E527)</f>
        <v>12</v>
      </c>
    </row>
    <row r="528" spans="1:14" outlineLevel="2" x14ac:dyDescent="0.3">
      <c r="A528" s="4" t="s">
        <v>4888</v>
      </c>
      <c r="B528" s="4" t="s">
        <v>216</v>
      </c>
      <c r="C528" s="12">
        <v>29165</v>
      </c>
      <c r="D528" s="4" t="s">
        <v>1426</v>
      </c>
      <c r="E528" s="4" t="s">
        <v>1427</v>
      </c>
      <c r="F528" s="4" t="str">
        <f>IF(separador &gt; 0, LEFT(E528,separador - 1), E528)</f>
        <v>82 Edgewood Ave.</v>
      </c>
      <c r="G528" s="4" t="str">
        <f>IF(separador &gt; 0, RIGHT(E528,largo -separador - 1),"-")</f>
        <v>-</v>
      </c>
      <c r="H528" s="4" t="s">
        <v>3884</v>
      </c>
      <c r="I528" s="4" t="s">
        <v>2749</v>
      </c>
      <c r="J528" s="13">
        <v>39320.900439814817</v>
      </c>
      <c r="K528" s="4" t="s">
        <v>3670</v>
      </c>
      <c r="M528" s="4">
        <f>IFERROR(FIND(",",E528),0)</f>
        <v>0</v>
      </c>
      <c r="N528" s="4">
        <f>LEN(E528)</f>
        <v>16</v>
      </c>
    </row>
    <row r="529" spans="1:14" outlineLevel="2" x14ac:dyDescent="0.3">
      <c r="A529" t="s">
        <v>5162</v>
      </c>
      <c r="B529" t="s">
        <v>490</v>
      </c>
      <c r="C529" s="1">
        <v>29069</v>
      </c>
      <c r="D529" t="s">
        <v>1969</v>
      </c>
      <c r="E529" t="s">
        <v>1970</v>
      </c>
      <c r="F529" t="str">
        <f>IF(separador &gt; 0, LEFT(E529,separador - 1), E529)</f>
        <v>9746 Church Lane</v>
      </c>
      <c r="G529" t="str">
        <f>IF(separador &gt; 0, RIGHT(E529,largo -separador - 1),"-")</f>
        <v>-</v>
      </c>
      <c r="H529" t="s">
        <v>4158</v>
      </c>
      <c r="I529" t="s">
        <v>3170</v>
      </c>
      <c r="J529" s="2">
        <v>44001.318078703705</v>
      </c>
      <c r="K529" t="s">
        <v>3670</v>
      </c>
      <c r="M529">
        <f>IFERROR(FIND(",",E529),0)</f>
        <v>0</v>
      </c>
      <c r="N529">
        <f>LEN(E529)</f>
        <v>16</v>
      </c>
    </row>
    <row r="530" spans="1:14" outlineLevel="2" x14ac:dyDescent="0.3">
      <c r="A530" s="4" t="s">
        <v>5099</v>
      </c>
      <c r="B530" s="4" t="s">
        <v>427</v>
      </c>
      <c r="C530" s="12">
        <v>29042</v>
      </c>
      <c r="D530" s="4" t="s">
        <v>1847</v>
      </c>
      <c r="E530" s="4" t="s">
        <v>1848</v>
      </c>
      <c r="F530" s="4" t="str">
        <f>IF(separador &gt; 0, LEFT(E530,separador - 1), E530)</f>
        <v>8974 High Point St.</v>
      </c>
      <c r="G530" s="4" t="str">
        <f>IF(separador &gt; 0, RIGHT(E530,largo -separador - 1),"-")</f>
        <v>-</v>
      </c>
      <c r="H530" s="4" t="s">
        <v>4095</v>
      </c>
      <c r="I530" s="4" t="s">
        <v>3108</v>
      </c>
      <c r="J530" s="13">
        <v>39415.757592592592</v>
      </c>
      <c r="K530" s="4" t="s">
        <v>3670</v>
      </c>
      <c r="M530" s="4">
        <f>IFERROR(FIND(",",E530),0)</f>
        <v>0</v>
      </c>
      <c r="N530" s="4">
        <f>LEN(E530)</f>
        <v>19</v>
      </c>
    </row>
    <row r="531" spans="1:14" outlineLevel="2" x14ac:dyDescent="0.3">
      <c r="A531" t="s">
        <v>5398</v>
      </c>
      <c r="B531" t="s">
        <v>726</v>
      </c>
      <c r="C531" s="1">
        <v>28995</v>
      </c>
      <c r="D531" t="s">
        <v>2282</v>
      </c>
      <c r="E531" t="s">
        <v>1960</v>
      </c>
      <c r="F531" t="str">
        <f>IF(separador &gt; 0, LEFT(E531,separador - 1), E531)</f>
        <v>London</v>
      </c>
      <c r="G531" t="str">
        <f>IF(separador &gt; 0, RIGHT(E531,largo -separador - 1),"-")</f>
        <v>-</v>
      </c>
      <c r="H531" t="s">
        <v>4394</v>
      </c>
      <c r="I531" t="s">
        <v>3401</v>
      </c>
      <c r="J531" s="2">
        <v>43569.434293981481</v>
      </c>
      <c r="K531" t="s">
        <v>3670</v>
      </c>
      <c r="M531">
        <f>IFERROR(FIND(",",E531),0)</f>
        <v>0</v>
      </c>
      <c r="N531">
        <f>LEN(E531)</f>
        <v>6</v>
      </c>
    </row>
    <row r="532" spans="1:14" outlineLevel="2" x14ac:dyDescent="0.3">
      <c r="A532" s="4" t="s">
        <v>5031</v>
      </c>
      <c r="B532" s="4" t="s">
        <v>359</v>
      </c>
      <c r="C532" s="12">
        <v>28928</v>
      </c>
      <c r="D532" s="4" t="s">
        <v>1712</v>
      </c>
      <c r="E532" s="4" t="s">
        <v>1713</v>
      </c>
      <c r="F532" s="4" t="str">
        <f>IF(separador &gt; 0, LEFT(E532,separador - 1), E532)</f>
        <v>61 College Rd.</v>
      </c>
      <c r="G532" s="4" t="str">
        <f>IF(separador &gt; 0, RIGHT(E532,largo -separador - 1),"-")</f>
        <v>-</v>
      </c>
      <c r="H532" s="4" t="s">
        <v>4027</v>
      </c>
      <c r="I532" s="4" t="s">
        <v>3041</v>
      </c>
      <c r="J532" s="13">
        <v>41961.869675925926</v>
      </c>
      <c r="K532" s="4" t="s">
        <v>3670</v>
      </c>
      <c r="M532" s="4">
        <f>IFERROR(FIND(",",E532),0)</f>
        <v>0</v>
      </c>
      <c r="N532" s="4">
        <f>LEN(E532)</f>
        <v>14</v>
      </c>
    </row>
    <row r="533" spans="1:14" outlineLevel="2" x14ac:dyDescent="0.3">
      <c r="A533" t="s">
        <v>5392</v>
      </c>
      <c r="B533" t="s">
        <v>720</v>
      </c>
      <c r="C533" s="1">
        <v>28924</v>
      </c>
      <c r="D533" t="s">
        <v>2274</v>
      </c>
      <c r="E533" t="s">
        <v>1960</v>
      </c>
      <c r="F533" t="str">
        <f>IF(separador &gt; 0, LEFT(E533,separador - 1), E533)</f>
        <v>London</v>
      </c>
      <c r="G533" t="str">
        <f>IF(separador &gt; 0, RIGHT(E533,largo -separador - 1),"-")</f>
        <v>-</v>
      </c>
      <c r="H533" t="s">
        <v>4388</v>
      </c>
      <c r="I533" t="s">
        <v>3395</v>
      </c>
      <c r="J533" s="2">
        <v>40674.78765046296</v>
      </c>
      <c r="K533" t="s">
        <v>3670</v>
      </c>
      <c r="M533">
        <f>IFERROR(FIND(",",E533),0)</f>
        <v>0</v>
      </c>
      <c r="N533">
        <f>LEN(E533)</f>
        <v>6</v>
      </c>
    </row>
    <row r="534" spans="1:14" outlineLevel="2" x14ac:dyDescent="0.3">
      <c r="A534" s="4" t="s">
        <v>4741</v>
      </c>
      <c r="B534" s="4" t="s">
        <v>69</v>
      </c>
      <c r="C534" s="12">
        <v>28736</v>
      </c>
      <c r="D534" s="4" t="s">
        <v>1132</v>
      </c>
      <c r="E534" s="4" t="s">
        <v>1133</v>
      </c>
      <c r="F534" s="4" t="str">
        <f>IF(separador &gt; 0, LEFT(E534,separador - 1), E534)</f>
        <v>WARRINGTON</v>
      </c>
      <c r="G534" s="4" t="str">
        <f>IF(separador &gt; 0, RIGHT(E534,largo -separador - 1),"-")</f>
        <v>-</v>
      </c>
      <c r="H534" s="4" t="s">
        <v>3737</v>
      </c>
      <c r="I534" s="4" t="s">
        <v>2755</v>
      </c>
      <c r="J534" s="13">
        <v>42120.501435185186</v>
      </c>
      <c r="K534" s="4" t="s">
        <v>3670</v>
      </c>
      <c r="M534" s="4">
        <f>IFERROR(FIND(",",E534),0)</f>
        <v>0</v>
      </c>
      <c r="N534" s="4">
        <f>LEN(E534)</f>
        <v>10</v>
      </c>
    </row>
    <row r="535" spans="1:14" outlineLevel="2" x14ac:dyDescent="0.3">
      <c r="A535" t="s">
        <v>5508</v>
      </c>
      <c r="B535" t="s">
        <v>836</v>
      </c>
      <c r="C535" s="1">
        <v>28664</v>
      </c>
      <c r="D535" t="s">
        <v>2473</v>
      </c>
      <c r="E535" t="s">
        <v>2474</v>
      </c>
      <c r="F535" t="str">
        <f>IF(separador &gt; 0, LEFT(E535,separador - 1), E535)</f>
        <v>Forest Hills</v>
      </c>
      <c r="G535" t="str">
        <f>IF(separador &gt; 0, RIGHT(E535,largo -separador - 1),"-")</f>
        <v>NY 11375</v>
      </c>
      <c r="H535" t="s">
        <v>4504</v>
      </c>
      <c r="I535" t="s">
        <v>3507</v>
      </c>
      <c r="J535" s="2">
        <v>43217.863692129627</v>
      </c>
      <c r="K535" t="s">
        <v>3670</v>
      </c>
      <c r="M535">
        <f>IFERROR(FIND(",",E535),0)</f>
        <v>13</v>
      </c>
      <c r="N535">
        <f>LEN(E535)</f>
        <v>22</v>
      </c>
    </row>
    <row r="536" spans="1:14" outlineLevel="2" x14ac:dyDescent="0.3">
      <c r="A536" s="4" t="s">
        <v>4723</v>
      </c>
      <c r="B536" s="4" t="s">
        <v>51</v>
      </c>
      <c r="C536" s="12">
        <v>28587</v>
      </c>
      <c r="D536" s="4" t="s">
        <v>1096</v>
      </c>
      <c r="E536" s="4" t="s">
        <v>1097</v>
      </c>
      <c r="F536" s="4" t="str">
        <f>IF(separador &gt; 0, LEFT(E536,separador - 1), E536)</f>
        <v>SOUTH EAST LONDON</v>
      </c>
      <c r="G536" s="4" t="str">
        <f>IF(separador &gt; 0, RIGHT(E536,largo -separador - 1),"-")</f>
        <v>-</v>
      </c>
      <c r="H536" s="4" t="s">
        <v>3719</v>
      </c>
      <c r="I536" s="4" t="s">
        <v>2737</v>
      </c>
      <c r="J536" s="13">
        <v>38933.363912037035</v>
      </c>
      <c r="K536" s="4" t="s">
        <v>3670</v>
      </c>
      <c r="M536" s="4">
        <f>IFERROR(FIND(",",E536),0)</f>
        <v>0</v>
      </c>
      <c r="N536" s="4">
        <f>LEN(E536)</f>
        <v>17</v>
      </c>
    </row>
    <row r="537" spans="1:14" outlineLevel="2" x14ac:dyDescent="0.3">
      <c r="A537" t="s">
        <v>4704</v>
      </c>
      <c r="B537" t="s">
        <v>32</v>
      </c>
      <c r="C537" s="1">
        <v>28575</v>
      </c>
      <c r="D537" t="s">
        <v>1058</v>
      </c>
      <c r="E537" t="s">
        <v>1059</v>
      </c>
      <c r="F537" t="str">
        <f>IF(separador &gt; 0, LEFT(E537,separador - 1), E537)</f>
        <v>Westland</v>
      </c>
      <c r="G537" t="str">
        <f>IF(separador &gt; 0, RIGHT(E537,largo -separador - 1),"-")</f>
        <v>MI 48185</v>
      </c>
      <c r="H537" t="s">
        <v>3700</v>
      </c>
      <c r="I537" t="s">
        <v>2718</v>
      </c>
      <c r="J537" s="2">
        <v>41598.835833333331</v>
      </c>
      <c r="K537" t="s">
        <v>3670</v>
      </c>
      <c r="M537">
        <f>IFERROR(FIND(",",E537),0)</f>
        <v>9</v>
      </c>
      <c r="N537">
        <f>LEN(E537)</f>
        <v>18</v>
      </c>
    </row>
    <row r="538" spans="1:14" outlineLevel="2" x14ac:dyDescent="0.3">
      <c r="A538" s="4" t="s">
        <v>5500</v>
      </c>
      <c r="B538" s="4" t="s">
        <v>828</v>
      </c>
      <c r="C538" s="12">
        <v>28431</v>
      </c>
      <c r="D538" s="4" t="s">
        <v>2457</v>
      </c>
      <c r="E538" s="4" t="s">
        <v>2458</v>
      </c>
      <c r="F538" s="4" t="str">
        <f>IF(separador &gt; 0, LEFT(E538,separador - 1), E538)</f>
        <v>South Richmond Hill</v>
      </c>
      <c r="G538" s="4" t="str">
        <f>IF(separador &gt; 0, RIGHT(E538,largo -separador - 1),"-")</f>
        <v>NY 11419</v>
      </c>
      <c r="H538" s="4" t="s">
        <v>4496</v>
      </c>
      <c r="I538" s="4" t="s">
        <v>3499</v>
      </c>
      <c r="J538" s="13">
        <v>42375.771770833337</v>
      </c>
      <c r="K538" s="4" t="s">
        <v>3670</v>
      </c>
      <c r="M538" s="4">
        <f>IFERROR(FIND(",",E538),0)</f>
        <v>20</v>
      </c>
      <c r="N538" s="4">
        <f>LEN(E538)</f>
        <v>29</v>
      </c>
    </row>
    <row r="539" spans="1:14" outlineLevel="2" x14ac:dyDescent="0.3">
      <c r="A539" t="s">
        <v>4688</v>
      </c>
      <c r="B539" t="s">
        <v>16</v>
      </c>
      <c r="C539" s="1">
        <v>28418</v>
      </c>
      <c r="D539" t="s">
        <v>1026</v>
      </c>
      <c r="E539" t="s">
        <v>1027</v>
      </c>
      <c r="F539" t="str">
        <f>IF(separador &gt; 0, LEFT(E539,separador - 1), E539)</f>
        <v>Grand Blanc</v>
      </c>
      <c r="G539" t="str">
        <f>IF(separador &gt; 0, RIGHT(E539,largo -separador - 1),"-")</f>
        <v>MI 48439</v>
      </c>
      <c r="H539" t="s">
        <v>3684</v>
      </c>
      <c r="I539" t="s">
        <v>2702</v>
      </c>
      <c r="J539" s="2">
        <v>40963.031921296293</v>
      </c>
      <c r="K539" t="s">
        <v>3670</v>
      </c>
      <c r="M539">
        <f>IFERROR(FIND(",",E539),0)</f>
        <v>12</v>
      </c>
      <c r="N539">
        <f>LEN(E539)</f>
        <v>21</v>
      </c>
    </row>
    <row r="540" spans="1:14" outlineLevel="2" x14ac:dyDescent="0.3">
      <c r="A540" s="4" t="s">
        <v>5435</v>
      </c>
      <c r="B540" s="4" t="s">
        <v>763</v>
      </c>
      <c r="C540" s="12">
        <v>28418</v>
      </c>
      <c r="D540" s="4" t="s">
        <v>2331</v>
      </c>
      <c r="E540" s="4" t="s">
        <v>2233</v>
      </c>
      <c r="F540" s="4" t="str">
        <f>IF(separador &gt; 0, LEFT(E540,separador - 1), E540)</f>
        <v>1 Kings Road</v>
      </c>
      <c r="G540" s="4" t="str">
        <f>IF(separador &gt; 0, RIGHT(E540,largo -separador - 1),"-")</f>
        <v>-</v>
      </c>
      <c r="H540" s="4" t="s">
        <v>4431</v>
      </c>
      <c r="I540" s="4" t="s">
        <v>3436</v>
      </c>
      <c r="J540" s="13">
        <v>43142.622395833336</v>
      </c>
      <c r="K540" s="4" t="s">
        <v>3670</v>
      </c>
      <c r="M540" s="4">
        <f>IFERROR(FIND(",",E540),0)</f>
        <v>0</v>
      </c>
      <c r="N540" s="4">
        <f>LEN(E540)</f>
        <v>12</v>
      </c>
    </row>
    <row r="541" spans="1:14" outlineLevel="2" x14ac:dyDescent="0.3">
      <c r="A541" t="s">
        <v>5013</v>
      </c>
      <c r="B541" t="s">
        <v>341</v>
      </c>
      <c r="C541" s="1">
        <v>28354</v>
      </c>
      <c r="D541" t="s">
        <v>1676</v>
      </c>
      <c r="E541" t="s">
        <v>1677</v>
      </c>
      <c r="F541" t="str">
        <f>IF(separador &gt; 0, LEFT(E541,separador - 1), E541)</f>
        <v>60 West Prince St.</v>
      </c>
      <c r="G541" t="str">
        <f>IF(separador &gt; 0, RIGHT(E541,largo -separador - 1),"-")</f>
        <v>-</v>
      </c>
      <c r="H541" t="s">
        <v>4009</v>
      </c>
      <c r="I541" t="s">
        <v>3023</v>
      </c>
      <c r="J541" s="2">
        <v>40835.279652777775</v>
      </c>
      <c r="K541" t="s">
        <v>3670</v>
      </c>
      <c r="M541">
        <f>IFERROR(FIND(",",E541),0)</f>
        <v>0</v>
      </c>
      <c r="N541">
        <f>LEN(E541)</f>
        <v>18</v>
      </c>
    </row>
    <row r="542" spans="1:14" outlineLevel="2" x14ac:dyDescent="0.3">
      <c r="A542" s="4" t="s">
        <v>5639</v>
      </c>
      <c r="B542" s="4" t="s">
        <v>967</v>
      </c>
      <c r="C542" s="12">
        <v>28291</v>
      </c>
      <c r="D542" s="4" t="s">
        <v>2654</v>
      </c>
      <c r="E542" s="4" t="s">
        <v>2500</v>
      </c>
      <c r="F542" s="4" t="str">
        <f>IF(separador &gt; 0, LEFT(E542,separador - 1), E542)</f>
        <v>Hempstead</v>
      </c>
      <c r="G542" s="4" t="str">
        <f>IF(separador &gt; 0, RIGHT(E542,largo -separador - 1),"-")</f>
        <v>NY 11550</v>
      </c>
      <c r="H542" s="4" t="s">
        <v>4635</v>
      </c>
      <c r="I542" s="4" t="s">
        <v>2964</v>
      </c>
      <c r="J542" s="13">
        <v>39734.125902777778</v>
      </c>
      <c r="K542" s="4" t="s">
        <v>3670</v>
      </c>
      <c r="M542" s="4">
        <f>IFERROR(FIND(",",E542),0)</f>
        <v>10</v>
      </c>
      <c r="N542" s="4">
        <f>LEN(E542)</f>
        <v>19</v>
      </c>
    </row>
    <row r="543" spans="1:14" outlineLevel="2" x14ac:dyDescent="0.3">
      <c r="A543" t="s">
        <v>5599</v>
      </c>
      <c r="B543" t="s">
        <v>927</v>
      </c>
      <c r="C543" s="1">
        <v>28284</v>
      </c>
      <c r="D543" t="s">
        <v>2614</v>
      </c>
      <c r="E543" t="s">
        <v>2456</v>
      </c>
      <c r="F543" t="str">
        <f>IF(separador &gt; 0, LEFT(E543,separador - 1), E543)</f>
        <v>Hamburg</v>
      </c>
      <c r="G543" t="str">
        <f>IF(separador &gt; 0, RIGHT(E543,largo -separador - 1),"-")</f>
        <v>NY 14075</v>
      </c>
      <c r="H543" t="s">
        <v>4595</v>
      </c>
      <c r="I543" t="s">
        <v>3596</v>
      </c>
      <c r="J543" s="2">
        <v>43631.030740740738</v>
      </c>
      <c r="K543" t="s">
        <v>3670</v>
      </c>
      <c r="M543">
        <f>IFERROR(FIND(",",E543),0)</f>
        <v>8</v>
      </c>
      <c r="N543">
        <f>LEN(E543)</f>
        <v>17</v>
      </c>
    </row>
    <row r="544" spans="1:14" outlineLevel="2" x14ac:dyDescent="0.3">
      <c r="A544" s="4" t="s">
        <v>4996</v>
      </c>
      <c r="B544" s="4" t="s">
        <v>324</v>
      </c>
      <c r="C544" s="12">
        <v>28175</v>
      </c>
      <c r="D544" s="4" t="s">
        <v>1642</v>
      </c>
      <c r="E544" s="4" t="s">
        <v>1643</v>
      </c>
      <c r="F544" s="4" t="str">
        <f>IF(separador &gt; 0, LEFT(E544,separador - 1), E544)</f>
        <v>85 Ridgeview Drive</v>
      </c>
      <c r="G544" s="4" t="str">
        <f>IF(separador &gt; 0, RIGHT(E544,largo -separador - 1),"-")</f>
        <v>-</v>
      </c>
      <c r="H544" s="4" t="s">
        <v>3992</v>
      </c>
      <c r="I544" s="4" t="s">
        <v>3006</v>
      </c>
      <c r="J544" s="13">
        <v>43451.264594907407</v>
      </c>
      <c r="K544" s="4" t="s">
        <v>3670</v>
      </c>
      <c r="M544" s="4">
        <f>IFERROR(FIND(",",E544),0)</f>
        <v>0</v>
      </c>
      <c r="N544" s="4">
        <f>LEN(E544)</f>
        <v>18</v>
      </c>
    </row>
    <row r="545" spans="1:14" outlineLevel="2" x14ac:dyDescent="0.3">
      <c r="A545" t="s">
        <v>4859</v>
      </c>
      <c r="B545" t="s">
        <v>187</v>
      </c>
      <c r="C545" s="1">
        <v>28155</v>
      </c>
      <c r="D545" t="s">
        <v>1368</v>
      </c>
      <c r="E545" t="s">
        <v>1369</v>
      </c>
      <c r="F545" t="str">
        <f>IF(separador &gt; 0, LEFT(E545,separador - 1), E545)</f>
        <v>198 Ramblewood Drive</v>
      </c>
      <c r="G545" t="str">
        <f>IF(separador &gt; 0, RIGHT(E545,largo -separador - 1),"-")</f>
        <v>-</v>
      </c>
      <c r="H545" t="s">
        <v>3855</v>
      </c>
      <c r="I545" t="s">
        <v>2871</v>
      </c>
      <c r="J545" s="2">
        <v>38560.905972222223</v>
      </c>
      <c r="K545" t="s">
        <v>3670</v>
      </c>
      <c r="M545">
        <f>IFERROR(FIND(",",E545),0)</f>
        <v>0</v>
      </c>
      <c r="N545">
        <f>LEN(E545)</f>
        <v>20</v>
      </c>
    </row>
    <row r="546" spans="1:14" outlineLevel="2" x14ac:dyDescent="0.3">
      <c r="A546" s="4" t="s">
        <v>5350</v>
      </c>
      <c r="B546" s="4" t="s">
        <v>678</v>
      </c>
      <c r="C546" s="12">
        <v>28127</v>
      </c>
      <c r="D546" s="4" t="s">
        <v>2219</v>
      </c>
      <c r="E546" s="4" t="s">
        <v>1960</v>
      </c>
      <c r="F546" s="4" t="str">
        <f>IF(separador &gt; 0, LEFT(E546,separador - 1), E546)</f>
        <v>London</v>
      </c>
      <c r="G546" s="4" t="str">
        <f>IF(separador &gt; 0, RIGHT(E546,largo -separador - 1),"-")</f>
        <v>-</v>
      </c>
      <c r="H546" s="4" t="s">
        <v>4346</v>
      </c>
      <c r="I546" s="4" t="s">
        <v>3354</v>
      </c>
      <c r="J546" s="13">
        <v>41843.33284722222</v>
      </c>
      <c r="K546" s="4" t="s">
        <v>3670</v>
      </c>
      <c r="M546" s="4">
        <f>IFERROR(FIND(",",E546),0)</f>
        <v>0</v>
      </c>
      <c r="N546" s="4">
        <f>LEN(E546)</f>
        <v>6</v>
      </c>
    </row>
    <row r="547" spans="1:14" outlineLevel="2" x14ac:dyDescent="0.3">
      <c r="A547" t="s">
        <v>5352</v>
      </c>
      <c r="B547" t="s">
        <v>680</v>
      </c>
      <c r="C547" s="1">
        <v>28092</v>
      </c>
      <c r="D547" t="s">
        <v>1960</v>
      </c>
      <c r="E547" t="s">
        <v>2222</v>
      </c>
      <c r="F547" t="str">
        <f>IF(separador &gt; 0, LEFT(E547,separador - 1), E547)</f>
        <v>W79 6UG</v>
      </c>
      <c r="G547" t="str">
        <f>IF(separador &gt; 0, RIGHT(E547,largo -separador - 1),"-")</f>
        <v>-</v>
      </c>
      <c r="H547" t="s">
        <v>4348</v>
      </c>
      <c r="I547" t="s">
        <v>3356</v>
      </c>
      <c r="J547" s="2">
        <v>42477.303460648145</v>
      </c>
      <c r="K547" t="s">
        <v>3670</v>
      </c>
      <c r="M547">
        <f>IFERROR(FIND(",",E547),0)</f>
        <v>0</v>
      </c>
      <c r="N547">
        <f>LEN(E547)</f>
        <v>7</v>
      </c>
    </row>
    <row r="548" spans="1:14" outlineLevel="2" x14ac:dyDescent="0.3">
      <c r="A548" s="4" t="s">
        <v>5518</v>
      </c>
      <c r="B548" s="4" t="s">
        <v>846</v>
      </c>
      <c r="C548" s="12">
        <v>28089</v>
      </c>
      <c r="D548" s="4" t="s">
        <v>2493</v>
      </c>
      <c r="E548" s="4" t="s">
        <v>2494</v>
      </c>
      <c r="F548" s="4" t="str">
        <f>IF(separador &gt; 0, LEFT(E548,separador - 1), E548)</f>
        <v>Brooklyn</v>
      </c>
      <c r="G548" s="4" t="str">
        <f>IF(separador &gt; 0, RIGHT(E548,largo -separador - 1),"-")</f>
        <v>NY 11221</v>
      </c>
      <c r="H548" s="4" t="s">
        <v>4514</v>
      </c>
      <c r="I548" s="4" t="s">
        <v>3517</v>
      </c>
      <c r="J548" s="13">
        <v>44323.760983796295</v>
      </c>
      <c r="K548" s="4" t="s">
        <v>3670</v>
      </c>
      <c r="M548" s="4">
        <f>IFERROR(FIND(",",E548),0)</f>
        <v>9</v>
      </c>
      <c r="N548" s="4">
        <f>LEN(E548)</f>
        <v>18</v>
      </c>
    </row>
    <row r="549" spans="1:14" outlineLevel="2" x14ac:dyDescent="0.3">
      <c r="A549" t="s">
        <v>4875</v>
      </c>
      <c r="B549" t="s">
        <v>203</v>
      </c>
      <c r="C549" s="1">
        <v>28005</v>
      </c>
      <c r="D549" t="s">
        <v>1400</v>
      </c>
      <c r="E549" t="s">
        <v>1401</v>
      </c>
      <c r="F549" t="str">
        <f>IF(separador &gt; 0, LEFT(E549,separador - 1), E549)</f>
        <v>9428 3rd Ave.</v>
      </c>
      <c r="G549" t="str">
        <f>IF(separador &gt; 0, RIGHT(E549,largo -separador - 1),"-")</f>
        <v>-</v>
      </c>
      <c r="H549" t="s">
        <v>3871</v>
      </c>
      <c r="I549" t="s">
        <v>2887</v>
      </c>
      <c r="J549" s="2">
        <v>39222.76840277778</v>
      </c>
      <c r="K549" t="s">
        <v>3670</v>
      </c>
      <c r="M549">
        <f>IFERROR(FIND(",",E549),0)</f>
        <v>0</v>
      </c>
      <c r="N549">
        <f>LEN(E549)</f>
        <v>13</v>
      </c>
    </row>
    <row r="550" spans="1:14" outlineLevel="2" x14ac:dyDescent="0.3">
      <c r="A550" s="4" t="s">
        <v>5377</v>
      </c>
      <c r="B550" s="4" t="s">
        <v>705</v>
      </c>
      <c r="C550" s="12">
        <v>27991</v>
      </c>
      <c r="D550" s="4" t="s">
        <v>2254</v>
      </c>
      <c r="E550" s="4" t="s">
        <v>1960</v>
      </c>
      <c r="F550" s="4" t="str">
        <f>IF(separador &gt; 0, LEFT(E550,separador - 1), E550)</f>
        <v>London</v>
      </c>
      <c r="G550" s="4" t="str">
        <f>IF(separador &gt; 0, RIGHT(E550,largo -separador - 1),"-")</f>
        <v>-</v>
      </c>
      <c r="H550" s="4" t="s">
        <v>4373</v>
      </c>
      <c r="I550" s="4" t="s">
        <v>3381</v>
      </c>
      <c r="J550" s="13">
        <v>39861.399745370371</v>
      </c>
      <c r="K550" s="4" t="s">
        <v>3670</v>
      </c>
      <c r="M550" s="4">
        <f>IFERROR(FIND(",",E550),0)</f>
        <v>0</v>
      </c>
      <c r="N550" s="4">
        <f>LEN(E550)</f>
        <v>6</v>
      </c>
    </row>
    <row r="551" spans="1:14" outlineLevel="2" x14ac:dyDescent="0.3">
      <c r="A551" t="s">
        <v>5212</v>
      </c>
      <c r="B551" t="s">
        <v>540</v>
      </c>
      <c r="C551" s="1">
        <v>27838</v>
      </c>
      <c r="D551" t="s">
        <v>2036</v>
      </c>
      <c r="E551" t="s">
        <v>1960</v>
      </c>
      <c r="F551" t="str">
        <f>IF(separador &gt; 0, LEFT(E551,separador - 1), E551)</f>
        <v>London</v>
      </c>
      <c r="G551" t="str">
        <f>IF(separador &gt; 0, RIGHT(E551,largo -separador - 1),"-")</f>
        <v>-</v>
      </c>
      <c r="H551" t="s">
        <v>4208</v>
      </c>
      <c r="I551" t="s">
        <v>3220</v>
      </c>
      <c r="J551" s="2">
        <v>42825.312407407408</v>
      </c>
      <c r="K551" t="s">
        <v>3670</v>
      </c>
      <c r="M551">
        <f>IFERROR(FIND(",",E551),0)</f>
        <v>0</v>
      </c>
      <c r="N551">
        <f>LEN(E551)</f>
        <v>6</v>
      </c>
    </row>
    <row r="552" spans="1:14" outlineLevel="2" x14ac:dyDescent="0.3">
      <c r="A552" s="4" t="s">
        <v>5119</v>
      </c>
      <c r="B552" s="4" t="s">
        <v>447</v>
      </c>
      <c r="C552" s="12">
        <v>27734</v>
      </c>
      <c r="D552" s="4" t="s">
        <v>1887</v>
      </c>
      <c r="E552" s="4" t="s">
        <v>1888</v>
      </c>
      <c r="F552" s="4" t="str">
        <f>IF(separador &gt; 0, LEFT(E552,separador - 1), E552)</f>
        <v>9080 Union St.</v>
      </c>
      <c r="G552" s="4" t="str">
        <f>IF(separador &gt; 0, RIGHT(E552,largo -separador - 1),"-")</f>
        <v>-</v>
      </c>
      <c r="H552" s="4" t="s">
        <v>4115</v>
      </c>
      <c r="I552" s="4" t="s">
        <v>3128</v>
      </c>
      <c r="J552" s="13">
        <v>43330.941979166666</v>
      </c>
      <c r="K552" s="4" t="s">
        <v>3670</v>
      </c>
      <c r="M552" s="4">
        <f>IFERROR(FIND(",",E552),0)</f>
        <v>0</v>
      </c>
      <c r="N552" s="4">
        <f>LEN(E552)</f>
        <v>14</v>
      </c>
    </row>
    <row r="553" spans="1:14" outlineLevel="2" x14ac:dyDescent="0.3">
      <c r="A553" t="s">
        <v>5198</v>
      </c>
      <c r="B553" t="s">
        <v>526</v>
      </c>
      <c r="C553" s="1">
        <v>27708</v>
      </c>
      <c r="D553" t="s">
        <v>2017</v>
      </c>
      <c r="E553" t="s">
        <v>2018</v>
      </c>
      <c r="F553" t="str">
        <f>IF(separador &gt; 0, LEFT(E553,separador - 1), E553)</f>
        <v>145 The Grove</v>
      </c>
      <c r="G553" t="str">
        <f>IF(separador &gt; 0, RIGHT(E553,largo -separador - 1),"-")</f>
        <v>-</v>
      </c>
      <c r="H553" t="s">
        <v>4194</v>
      </c>
      <c r="I553" t="s">
        <v>3206</v>
      </c>
      <c r="J553" s="2">
        <v>40169.900740740741</v>
      </c>
      <c r="K553" t="s">
        <v>3670</v>
      </c>
      <c r="M553">
        <f>IFERROR(FIND(",",E553),0)</f>
        <v>0</v>
      </c>
      <c r="N553">
        <f>LEN(E553)</f>
        <v>13</v>
      </c>
    </row>
    <row r="554" spans="1:14" outlineLevel="2" x14ac:dyDescent="0.3">
      <c r="A554" s="4" t="s">
        <v>4805</v>
      </c>
      <c r="B554" s="4" t="s">
        <v>133</v>
      </c>
      <c r="C554" s="12">
        <v>27626</v>
      </c>
      <c r="D554" s="4" t="s">
        <v>1260</v>
      </c>
      <c r="E554" s="4" t="s">
        <v>1261</v>
      </c>
      <c r="F554" s="4" t="str">
        <f>IF(separador &gt; 0, LEFT(E554,separador - 1), E554)</f>
        <v>San Jose</v>
      </c>
      <c r="G554" s="4" t="str">
        <f>IF(separador &gt; 0, RIGHT(E554,largo -separador - 1),"-")</f>
        <v>CA 95123</v>
      </c>
      <c r="H554" s="4" t="s">
        <v>3801</v>
      </c>
      <c r="I554" s="4" t="s">
        <v>2819</v>
      </c>
      <c r="J554" s="13">
        <v>44146.606388888889</v>
      </c>
      <c r="K554" s="4" t="s">
        <v>3670</v>
      </c>
      <c r="M554" s="4">
        <f>IFERROR(FIND(",",E554),0)</f>
        <v>9</v>
      </c>
      <c r="N554" s="4">
        <f>LEN(E554)</f>
        <v>18</v>
      </c>
    </row>
    <row r="555" spans="1:14" outlineLevel="2" x14ac:dyDescent="0.3">
      <c r="A555" t="s">
        <v>5318</v>
      </c>
      <c r="B555" t="s">
        <v>646</v>
      </c>
      <c r="C555" s="1">
        <v>27565</v>
      </c>
      <c r="D555" t="s">
        <v>2176</v>
      </c>
      <c r="E555" t="s">
        <v>2177</v>
      </c>
      <c r="F555" t="str">
        <f>IF(separador &gt; 0, LEFT(E555,separador - 1), E555)</f>
        <v>925 George Street</v>
      </c>
      <c r="G555" t="str">
        <f>IF(separador &gt; 0, RIGHT(E555,largo -separador - 1),"-")</f>
        <v>-</v>
      </c>
      <c r="H555" t="s">
        <v>4314</v>
      </c>
      <c r="I555" t="s">
        <v>3323</v>
      </c>
      <c r="J555" s="2">
        <v>41820.206863425927</v>
      </c>
      <c r="K555" t="s">
        <v>3670</v>
      </c>
      <c r="M555">
        <f>IFERROR(FIND(",",E555),0)</f>
        <v>0</v>
      </c>
      <c r="N555">
        <f>LEN(E555)</f>
        <v>17</v>
      </c>
    </row>
    <row r="556" spans="1:14" outlineLevel="2" x14ac:dyDescent="0.3">
      <c r="A556" s="4" t="s">
        <v>4997</v>
      </c>
      <c r="B556" s="4" t="s">
        <v>325</v>
      </c>
      <c r="C556" s="12">
        <v>27537</v>
      </c>
      <c r="D556" s="4" t="s">
        <v>1644</v>
      </c>
      <c r="E556" s="4" t="s">
        <v>1645</v>
      </c>
      <c r="F556" s="4" t="str">
        <f>IF(separador &gt; 0, LEFT(E556,separador - 1), E556)</f>
        <v>60 Surrey Rd.</v>
      </c>
      <c r="G556" s="4" t="str">
        <f>IF(separador &gt; 0, RIGHT(E556,largo -separador - 1),"-")</f>
        <v>-</v>
      </c>
      <c r="H556" s="4" t="s">
        <v>3993</v>
      </c>
      <c r="I556" s="4" t="s">
        <v>3007</v>
      </c>
      <c r="J556" s="13">
        <v>39657.621053240742</v>
      </c>
      <c r="K556" s="4" t="s">
        <v>3670</v>
      </c>
      <c r="M556" s="4">
        <f>IFERROR(FIND(",",E556),0)</f>
        <v>0</v>
      </c>
      <c r="N556" s="4">
        <f>LEN(E556)</f>
        <v>13</v>
      </c>
    </row>
    <row r="557" spans="1:14" outlineLevel="2" x14ac:dyDescent="0.3">
      <c r="A557" t="s">
        <v>5127</v>
      </c>
      <c r="B557" t="s">
        <v>455</v>
      </c>
      <c r="C557" s="1">
        <v>27532</v>
      </c>
      <c r="D557" t="s">
        <v>1903</v>
      </c>
      <c r="E557" t="s">
        <v>1904</v>
      </c>
      <c r="F557" t="str">
        <f>IF(separador &gt; 0, LEFT(E557,separador - 1), E557)</f>
        <v>7735 S. Marshall Circle</v>
      </c>
      <c r="G557" t="str">
        <f>IF(separador &gt; 0, RIGHT(E557,largo -separador - 1),"-")</f>
        <v>-</v>
      </c>
      <c r="H557" t="s">
        <v>4123</v>
      </c>
      <c r="I557" t="s">
        <v>3136</v>
      </c>
      <c r="J557" s="2">
        <v>44309.167222222219</v>
      </c>
      <c r="K557" t="s">
        <v>3670</v>
      </c>
      <c r="M557">
        <f>IFERROR(FIND(",",E557),0)</f>
        <v>0</v>
      </c>
      <c r="N557">
        <f>LEN(E557)</f>
        <v>23</v>
      </c>
    </row>
    <row r="558" spans="1:14" outlineLevel="2" x14ac:dyDescent="0.3">
      <c r="A558" s="4" t="s">
        <v>5561</v>
      </c>
      <c r="B558" s="4" t="s">
        <v>889</v>
      </c>
      <c r="C558" s="12">
        <v>27504</v>
      </c>
      <c r="D558" s="4" t="s">
        <v>2576</v>
      </c>
      <c r="E558" s="4" t="s">
        <v>2486</v>
      </c>
      <c r="F558" s="4" t="str">
        <f>IF(separador &gt; 0, LEFT(E558,separador - 1), E558)</f>
        <v>Jamaica</v>
      </c>
      <c r="G558" s="4" t="str">
        <f>IF(separador &gt; 0, RIGHT(E558,largo -separador - 1),"-")</f>
        <v>NY 11435</v>
      </c>
      <c r="H558" s="4" t="s">
        <v>4557</v>
      </c>
      <c r="I558" s="4" t="s">
        <v>3559</v>
      </c>
      <c r="J558" s="13">
        <v>39872.793321759258</v>
      </c>
      <c r="K558" s="4" t="s">
        <v>3670</v>
      </c>
      <c r="M558" s="4">
        <f>IFERROR(FIND(",",E558),0)</f>
        <v>8</v>
      </c>
      <c r="N558" s="4">
        <f>LEN(E558)</f>
        <v>17</v>
      </c>
    </row>
    <row r="559" spans="1:14" outlineLevel="2" x14ac:dyDescent="0.3">
      <c r="A559" t="s">
        <v>5643</v>
      </c>
      <c r="B559" t="s">
        <v>971</v>
      </c>
      <c r="C559" s="1">
        <v>27480</v>
      </c>
      <c r="D559" t="s">
        <v>2658</v>
      </c>
      <c r="E559" t="s">
        <v>2556</v>
      </c>
      <c r="F559" t="str">
        <f>IF(separador &gt; 0, LEFT(E559,separador - 1), E559)</f>
        <v>New York</v>
      </c>
      <c r="G559" t="str">
        <f>IF(separador &gt; 0, RIGHT(E559,largo -separador - 1),"-")</f>
        <v>NY 10003</v>
      </c>
      <c r="H559" t="s">
        <v>4639</v>
      </c>
      <c r="I559" t="s">
        <v>3637</v>
      </c>
      <c r="J559" s="2">
        <v>41428.2575462963</v>
      </c>
      <c r="K559" t="s">
        <v>3670</v>
      </c>
      <c r="M559">
        <f>IFERROR(FIND(",",E559),0)</f>
        <v>9</v>
      </c>
      <c r="N559">
        <f>LEN(E559)</f>
        <v>18</v>
      </c>
    </row>
    <row r="560" spans="1:14" outlineLevel="2" x14ac:dyDescent="0.3">
      <c r="A560" s="4" t="s">
        <v>5151</v>
      </c>
      <c r="B560" s="4" t="s">
        <v>479</v>
      </c>
      <c r="C560" s="12">
        <v>27395</v>
      </c>
      <c r="D560" s="4" t="s">
        <v>1951</v>
      </c>
      <c r="E560" s="4" t="s">
        <v>1952</v>
      </c>
      <c r="F560" s="4" t="str">
        <f>IF(separador &gt; 0, LEFT(E560,separador - 1), E560)</f>
        <v>Orlando</v>
      </c>
      <c r="G560" s="4" t="str">
        <f>IF(separador &gt; 0, RIGHT(E560,largo -separador - 1),"-")</f>
        <v>FL 32822</v>
      </c>
      <c r="H560" s="4" t="s">
        <v>4147</v>
      </c>
      <c r="I560" s="4" t="s">
        <v>3160</v>
      </c>
      <c r="J560" s="13">
        <v>40170.650173611109</v>
      </c>
      <c r="K560" s="4" t="s">
        <v>3670</v>
      </c>
      <c r="M560" s="4">
        <f>IFERROR(FIND(",",E560),0)</f>
        <v>8</v>
      </c>
      <c r="N560" s="4">
        <f>LEN(E560)</f>
        <v>17</v>
      </c>
    </row>
    <row r="561" spans="1:14" outlineLevel="2" x14ac:dyDescent="0.3">
      <c r="A561" t="s">
        <v>5355</v>
      </c>
      <c r="B561" t="s">
        <v>683</v>
      </c>
      <c r="C561" s="1">
        <v>27368</v>
      </c>
      <c r="D561" t="s">
        <v>1960</v>
      </c>
      <c r="E561" t="s">
        <v>2226</v>
      </c>
      <c r="F561" t="str">
        <f>IF(separador &gt; 0, LEFT(E561,separador - 1), E561)</f>
        <v>WC13 6VO</v>
      </c>
      <c r="G561" t="str">
        <f>IF(separador &gt; 0, RIGHT(E561,largo -separador - 1),"-")</f>
        <v>-</v>
      </c>
      <c r="H561" t="s">
        <v>4351</v>
      </c>
      <c r="I561" t="s">
        <v>3359</v>
      </c>
      <c r="J561" s="2">
        <v>40536.733946759261</v>
      </c>
      <c r="K561" t="s">
        <v>3670</v>
      </c>
      <c r="M561">
        <f>IFERROR(FIND(",",E561),0)</f>
        <v>0</v>
      </c>
      <c r="N561">
        <f>LEN(E561)</f>
        <v>8</v>
      </c>
    </row>
    <row r="562" spans="1:14" outlineLevel="2" x14ac:dyDescent="0.3">
      <c r="A562" s="4" t="s">
        <v>4991</v>
      </c>
      <c r="B562" s="4" t="s">
        <v>319</v>
      </c>
      <c r="C562" s="12">
        <v>27362</v>
      </c>
      <c r="D562" s="4" t="s">
        <v>1632</v>
      </c>
      <c r="E562" s="4" t="s">
        <v>1633</v>
      </c>
      <c r="F562" s="4" t="str">
        <f>IF(separador &gt; 0, LEFT(E562,separador - 1), E562)</f>
        <v>127 Rockwell Lane</v>
      </c>
      <c r="G562" s="4" t="str">
        <f>IF(separador &gt; 0, RIGHT(E562,largo -separador - 1),"-")</f>
        <v>-</v>
      </c>
      <c r="H562" s="4" t="s">
        <v>3987</v>
      </c>
      <c r="I562" s="4" t="s">
        <v>3001</v>
      </c>
      <c r="J562" s="13">
        <v>38463.197638888887</v>
      </c>
      <c r="K562" s="4" t="s">
        <v>3670</v>
      </c>
      <c r="M562" s="4">
        <f>IFERROR(FIND(",",E562),0)</f>
        <v>0</v>
      </c>
      <c r="N562" s="4">
        <f>LEN(E562)</f>
        <v>17</v>
      </c>
    </row>
    <row r="563" spans="1:14" outlineLevel="2" x14ac:dyDescent="0.3">
      <c r="A563" t="s">
        <v>5092</v>
      </c>
      <c r="B563" t="s">
        <v>420</v>
      </c>
      <c r="C563" s="1">
        <v>27274</v>
      </c>
      <c r="D563" t="s">
        <v>1833</v>
      </c>
      <c r="E563" t="s">
        <v>1834</v>
      </c>
      <c r="F563" t="str">
        <f>IF(separador &gt; 0, LEFT(E563,separador - 1), E563)</f>
        <v>778 South Street</v>
      </c>
      <c r="G563" t="str">
        <f>IF(separador &gt; 0, RIGHT(E563,largo -separador - 1),"-")</f>
        <v>-</v>
      </c>
      <c r="H563" t="s">
        <v>4088</v>
      </c>
      <c r="I563" t="s">
        <v>3102</v>
      </c>
      <c r="J563" s="2">
        <v>41052.191377314812</v>
      </c>
      <c r="K563" t="s">
        <v>3670</v>
      </c>
      <c r="M563">
        <f>IFERROR(FIND(",",E563),0)</f>
        <v>0</v>
      </c>
      <c r="N563">
        <f>LEN(E563)</f>
        <v>16</v>
      </c>
    </row>
    <row r="564" spans="1:14" outlineLevel="2" x14ac:dyDescent="0.3">
      <c r="A564" s="4" t="s">
        <v>5622</v>
      </c>
      <c r="B564" s="4" t="s">
        <v>950</v>
      </c>
      <c r="C564" s="12">
        <v>27236</v>
      </c>
      <c r="D564" s="4" t="s">
        <v>2637</v>
      </c>
      <c r="E564" s="4" t="s">
        <v>2439</v>
      </c>
      <c r="F564" s="4" t="str">
        <f>IF(separador &gt; 0, LEFT(E564,separador - 1), E564)</f>
        <v>Bronx</v>
      </c>
      <c r="G564" s="4" t="str">
        <f>IF(separador &gt; 0, RIGHT(E564,largo -separador - 1),"-")</f>
        <v>NY 10462</v>
      </c>
      <c r="H564" s="4" t="s">
        <v>4618</v>
      </c>
      <c r="I564" s="4" t="s">
        <v>3619</v>
      </c>
      <c r="J564" s="13">
        <v>41903.483252314814</v>
      </c>
      <c r="K564" s="4" t="s">
        <v>3670</v>
      </c>
      <c r="M564" s="4">
        <f>IFERROR(FIND(",",E564),0)</f>
        <v>6</v>
      </c>
      <c r="N564" s="4">
        <f>LEN(E564)</f>
        <v>15</v>
      </c>
    </row>
    <row r="565" spans="1:14" outlineLevel="2" x14ac:dyDescent="0.3">
      <c r="A565" t="s">
        <v>4764</v>
      </c>
      <c r="B565" t="s">
        <v>92</v>
      </c>
      <c r="C565" s="1">
        <v>27148</v>
      </c>
      <c r="D565" t="s">
        <v>1178</v>
      </c>
      <c r="E565" t="s">
        <v>1179</v>
      </c>
      <c r="F565" t="str">
        <f>IF(separador &gt; 0, LEFT(E565,separador - 1), E565)</f>
        <v>WC52 6DL</v>
      </c>
      <c r="G565" t="str">
        <f>IF(separador &gt; 0, RIGHT(E565,largo -separador - 1),"-")</f>
        <v>-</v>
      </c>
      <c r="H565" t="s">
        <v>3760</v>
      </c>
      <c r="I565" t="s">
        <v>2778</v>
      </c>
      <c r="J565" s="2">
        <v>40308.601817129631</v>
      </c>
      <c r="K565" t="s">
        <v>3670</v>
      </c>
      <c r="M565">
        <f>IFERROR(FIND(",",E565),0)</f>
        <v>0</v>
      </c>
      <c r="N565">
        <f>LEN(E565)</f>
        <v>8</v>
      </c>
    </row>
    <row r="566" spans="1:14" outlineLevel="2" x14ac:dyDescent="0.3">
      <c r="A566" s="4" t="s">
        <v>5314</v>
      </c>
      <c r="B566" s="4" t="s">
        <v>642</v>
      </c>
      <c r="C566" s="12">
        <v>27042</v>
      </c>
      <c r="D566" s="4" t="s">
        <v>2171</v>
      </c>
      <c r="E566" s="4" t="s">
        <v>1960</v>
      </c>
      <c r="F566" s="4" t="str">
        <f>IF(separador &gt; 0, LEFT(E566,separador - 1), E566)</f>
        <v>London</v>
      </c>
      <c r="G566" s="4" t="str">
        <f>IF(separador &gt; 0, RIGHT(E566,largo -separador - 1),"-")</f>
        <v>-</v>
      </c>
      <c r="H566" s="4" t="s">
        <v>4310</v>
      </c>
      <c r="I566" s="4" t="s">
        <v>3319</v>
      </c>
      <c r="J566" s="13">
        <v>38580.681030092594</v>
      </c>
      <c r="K566" s="4" t="s">
        <v>3670</v>
      </c>
      <c r="M566" s="4">
        <f>IFERROR(FIND(",",E566),0)</f>
        <v>0</v>
      </c>
      <c r="N566" s="4">
        <f>LEN(E566)</f>
        <v>6</v>
      </c>
    </row>
    <row r="567" spans="1:14" outlineLevel="2" x14ac:dyDescent="0.3">
      <c r="A567" t="s">
        <v>5168</v>
      </c>
      <c r="B567" t="s">
        <v>496</v>
      </c>
      <c r="C567" s="1">
        <v>27009</v>
      </c>
      <c r="D567" t="s">
        <v>1977</v>
      </c>
      <c r="E567" t="s">
        <v>1978</v>
      </c>
      <c r="F567" t="str">
        <f>IF(separador &gt; 0, LEFT(E567,separador - 1), E567)</f>
        <v>54 West Street</v>
      </c>
      <c r="G567" t="str">
        <f>IF(separador &gt; 0, RIGHT(E567,largo -separador - 1),"-")</f>
        <v>-</v>
      </c>
      <c r="H567" t="s">
        <v>4164</v>
      </c>
      <c r="I567" t="s">
        <v>3176</v>
      </c>
      <c r="J567" s="2">
        <v>40319.049131944441</v>
      </c>
      <c r="K567" t="s">
        <v>3670</v>
      </c>
      <c r="M567">
        <f>IFERROR(FIND(",",E567),0)</f>
        <v>0</v>
      </c>
      <c r="N567">
        <f>LEN(E567)</f>
        <v>14</v>
      </c>
    </row>
    <row r="568" spans="1:14" outlineLevel="2" x14ac:dyDescent="0.3">
      <c r="A568" s="4" t="s">
        <v>5619</v>
      </c>
      <c r="B568" s="4" t="s">
        <v>947</v>
      </c>
      <c r="C568" s="12">
        <v>26774</v>
      </c>
      <c r="D568" s="4" t="s">
        <v>2634</v>
      </c>
      <c r="E568" s="4" t="s">
        <v>2506</v>
      </c>
      <c r="F568" s="4" t="str">
        <f>IF(separador &gt; 0, LEFT(E568,separador - 1), E568)</f>
        <v>Brooklyn</v>
      </c>
      <c r="G568" s="4" t="str">
        <f>IF(separador &gt; 0, RIGHT(E568,largo -separador - 1),"-")</f>
        <v>NY 11219</v>
      </c>
      <c r="H568" s="4" t="s">
        <v>4615</v>
      </c>
      <c r="I568" s="4" t="s">
        <v>3616</v>
      </c>
      <c r="J568" s="13">
        <v>39548.542314814818</v>
      </c>
      <c r="K568" s="4" t="s">
        <v>3670</v>
      </c>
      <c r="M568" s="4">
        <f>IFERROR(FIND(",",E568),0)</f>
        <v>9</v>
      </c>
      <c r="N568" s="4">
        <f>LEN(E568)</f>
        <v>18</v>
      </c>
    </row>
    <row r="569" spans="1:14" outlineLevel="2" x14ac:dyDescent="0.3">
      <c r="A569" t="s">
        <v>5411</v>
      </c>
      <c r="B569" t="s">
        <v>739</v>
      </c>
      <c r="C569" s="1">
        <v>26727</v>
      </c>
      <c r="D569" t="s">
        <v>2299</v>
      </c>
      <c r="E569" t="s">
        <v>2300</v>
      </c>
      <c r="F569" t="str">
        <f>IF(separador &gt; 0, LEFT(E569,separador - 1), E569)</f>
        <v>87 St. John’s Road</v>
      </c>
      <c r="G569" t="str">
        <f>IF(separador &gt; 0, RIGHT(E569,largo -separador - 1),"-")</f>
        <v>-</v>
      </c>
      <c r="H569" t="s">
        <v>4407</v>
      </c>
      <c r="I569" t="s">
        <v>3414</v>
      </c>
      <c r="J569" s="2">
        <v>41606.477638888886</v>
      </c>
      <c r="K569" t="s">
        <v>3670</v>
      </c>
      <c r="M569">
        <f>IFERROR(FIND(",",E569),0)</f>
        <v>0</v>
      </c>
      <c r="N569">
        <f>LEN(E569)</f>
        <v>18</v>
      </c>
    </row>
    <row r="570" spans="1:14" outlineLevel="2" x14ac:dyDescent="0.3">
      <c r="A570" s="4" t="s">
        <v>5034</v>
      </c>
      <c r="B570" s="4" t="s">
        <v>362</v>
      </c>
      <c r="C570" s="12">
        <v>26676</v>
      </c>
      <c r="D570" s="4" t="s">
        <v>1718</v>
      </c>
      <c r="E570" s="4" t="s">
        <v>1719</v>
      </c>
      <c r="F570" s="4" t="str">
        <f>IF(separador &gt; 0, LEFT(E570,separador - 1), E570)</f>
        <v>9028 E. Overlook Street</v>
      </c>
      <c r="G570" s="4" t="str">
        <f>IF(separador &gt; 0, RIGHT(E570,largo -separador - 1),"-")</f>
        <v>-</v>
      </c>
      <c r="H570" s="4" t="s">
        <v>4030</v>
      </c>
      <c r="I570" s="4" t="s">
        <v>3044</v>
      </c>
      <c r="J570" s="13">
        <v>38731.011747685188</v>
      </c>
      <c r="K570" s="4" t="s">
        <v>3670</v>
      </c>
      <c r="M570" s="4">
        <f>IFERROR(FIND(",",E570),0)</f>
        <v>0</v>
      </c>
      <c r="N570" s="4">
        <f>LEN(E570)</f>
        <v>23</v>
      </c>
    </row>
    <row r="571" spans="1:14" outlineLevel="2" x14ac:dyDescent="0.3">
      <c r="A571" t="s">
        <v>4938</v>
      </c>
      <c r="B571" t="s">
        <v>266</v>
      </c>
      <c r="C571" s="1">
        <v>26651</v>
      </c>
      <c r="D571" t="s">
        <v>1526</v>
      </c>
      <c r="E571" t="s">
        <v>1527</v>
      </c>
      <c r="F571" t="str">
        <f>IF(separador &gt; 0, LEFT(E571,separador - 1), E571)</f>
        <v>7058 Country Club Ave.</v>
      </c>
      <c r="G571" t="str">
        <f>IF(separador &gt; 0, RIGHT(E571,largo -separador - 1),"-")</f>
        <v>-</v>
      </c>
      <c r="H571" t="s">
        <v>3934</v>
      </c>
      <c r="I571" t="s">
        <v>2949</v>
      </c>
      <c r="J571" s="2">
        <v>39655.152372685188</v>
      </c>
      <c r="K571" t="s">
        <v>3670</v>
      </c>
      <c r="M571">
        <f>IFERROR(FIND(",",E571),0)</f>
        <v>0</v>
      </c>
      <c r="N571">
        <f>LEN(E571)</f>
        <v>22</v>
      </c>
    </row>
    <row r="572" spans="1:14" outlineLevel="2" x14ac:dyDescent="0.3">
      <c r="A572" s="4" t="s">
        <v>4931</v>
      </c>
      <c r="B572" s="4" t="s">
        <v>259</v>
      </c>
      <c r="C572" s="12">
        <v>26615</v>
      </c>
      <c r="D572" s="4" t="s">
        <v>1512</v>
      </c>
      <c r="E572" s="4" t="s">
        <v>1513</v>
      </c>
      <c r="F572" s="4" t="str">
        <f>IF(separador &gt; 0, LEFT(E572,separador - 1), E572)</f>
        <v>616 Lyme Ave.</v>
      </c>
      <c r="G572" s="4" t="str">
        <f>IF(separador &gt; 0, RIGHT(E572,largo -separador - 1),"-")</f>
        <v>-</v>
      </c>
      <c r="H572" s="4" t="s">
        <v>3927</v>
      </c>
      <c r="I572" s="4" t="s">
        <v>2942</v>
      </c>
      <c r="J572" s="13">
        <v>42153.647835648146</v>
      </c>
      <c r="K572" s="4" t="s">
        <v>3670</v>
      </c>
      <c r="M572" s="4">
        <f>IFERROR(FIND(",",E572),0)</f>
        <v>0</v>
      </c>
      <c r="N572" s="4">
        <f>LEN(E572)</f>
        <v>13</v>
      </c>
    </row>
    <row r="573" spans="1:14" outlineLevel="2" x14ac:dyDescent="0.3">
      <c r="A573" t="s">
        <v>5090</v>
      </c>
      <c r="B573" t="s">
        <v>418</v>
      </c>
      <c r="C573" s="1">
        <v>26615</v>
      </c>
      <c r="D573" t="s">
        <v>1829</v>
      </c>
      <c r="E573" t="s">
        <v>1830</v>
      </c>
      <c r="F573" t="str">
        <f>IF(separador &gt; 0, LEFT(E573,separador - 1), E573)</f>
        <v>8834 Jefferson St.</v>
      </c>
      <c r="G573" t="str">
        <f>IF(separador &gt; 0, RIGHT(E573,largo -separador - 1),"-")</f>
        <v>-</v>
      </c>
      <c r="H573" t="s">
        <v>4086</v>
      </c>
      <c r="I573" t="s">
        <v>3100</v>
      </c>
      <c r="J573" s="2">
        <v>42476.854467592595</v>
      </c>
      <c r="K573" t="s">
        <v>3670</v>
      </c>
      <c r="M573">
        <f>IFERROR(FIND(",",E573),0)</f>
        <v>0</v>
      </c>
      <c r="N573">
        <f>LEN(E573)</f>
        <v>18</v>
      </c>
    </row>
    <row r="574" spans="1:14" outlineLevel="2" x14ac:dyDescent="0.3">
      <c r="A574" s="4" t="s">
        <v>5485</v>
      </c>
      <c r="B574" s="4" t="s">
        <v>813</v>
      </c>
      <c r="C574" s="12">
        <v>26532</v>
      </c>
      <c r="D574" s="4" t="s">
        <v>2428</v>
      </c>
      <c r="E574" s="4" t="s">
        <v>2429</v>
      </c>
      <c r="F574" s="4" t="str">
        <f>IF(separador &gt; 0, LEFT(E574,separador - 1), E574)</f>
        <v>New York</v>
      </c>
      <c r="G574" s="4" t="str">
        <f>IF(separador &gt; 0, RIGHT(E574,largo -separador - 1),"-")</f>
        <v>NY 10028</v>
      </c>
      <c r="H574" s="4" t="s">
        <v>4481</v>
      </c>
      <c r="I574" s="4" t="s">
        <v>3484</v>
      </c>
      <c r="J574" s="13">
        <v>40486.53261574074</v>
      </c>
      <c r="K574" s="4" t="s">
        <v>3670</v>
      </c>
      <c r="M574" s="4">
        <f>IFERROR(FIND(",",E574),0)</f>
        <v>9</v>
      </c>
      <c r="N574" s="4">
        <f>LEN(E574)</f>
        <v>18</v>
      </c>
    </row>
    <row r="575" spans="1:14" outlineLevel="2" x14ac:dyDescent="0.3">
      <c r="A575" t="s">
        <v>5568</v>
      </c>
      <c r="B575" t="s">
        <v>896</v>
      </c>
      <c r="C575" s="1">
        <v>26518</v>
      </c>
      <c r="D575" t="s">
        <v>2583</v>
      </c>
      <c r="E575" t="s">
        <v>2370</v>
      </c>
      <c r="F575" t="str">
        <f>IF(separador &gt; 0, LEFT(E575,separador - 1), E575)</f>
        <v>Newburgh</v>
      </c>
      <c r="G575" t="str">
        <f>IF(separador &gt; 0, RIGHT(E575,largo -separador - 1),"-")</f>
        <v>NY 12550</v>
      </c>
      <c r="H575" t="s">
        <v>4564</v>
      </c>
      <c r="I575" t="s">
        <v>3566</v>
      </c>
      <c r="J575" s="2">
        <v>38955.997800925928</v>
      </c>
      <c r="K575" t="s">
        <v>3670</v>
      </c>
      <c r="M575">
        <f>IFERROR(FIND(",",E575),0)</f>
        <v>9</v>
      </c>
      <c r="N575">
        <f>LEN(E575)</f>
        <v>18</v>
      </c>
    </row>
    <row r="576" spans="1:14" outlineLevel="2" x14ac:dyDescent="0.3">
      <c r="A576" s="4" t="s">
        <v>4886</v>
      </c>
      <c r="B576" s="4" t="s">
        <v>214</v>
      </c>
      <c r="C576" s="12">
        <v>26515</v>
      </c>
      <c r="D576" s="4" t="s">
        <v>1422</v>
      </c>
      <c r="E576" s="4" t="s">
        <v>1423</v>
      </c>
      <c r="F576" s="4" t="str">
        <f>IF(separador &gt; 0, LEFT(E576,separador - 1), E576)</f>
        <v>9268 NE. Lookout Drive</v>
      </c>
      <c r="G576" s="4" t="str">
        <f>IF(separador &gt; 0, RIGHT(E576,largo -separador - 1),"-")</f>
        <v>-</v>
      </c>
      <c r="H576" s="4" t="s">
        <v>3882</v>
      </c>
      <c r="I576" s="4" t="s">
        <v>2898</v>
      </c>
      <c r="J576" s="13">
        <v>39263.142708333333</v>
      </c>
      <c r="K576" s="4" t="s">
        <v>3670</v>
      </c>
      <c r="M576" s="4">
        <f>IFERROR(FIND(",",E576),0)</f>
        <v>0</v>
      </c>
      <c r="N576" s="4">
        <f>LEN(E576)</f>
        <v>22</v>
      </c>
    </row>
    <row r="577" spans="1:14" outlineLevel="2" x14ac:dyDescent="0.3">
      <c r="A577" t="s">
        <v>5173</v>
      </c>
      <c r="B577" t="s">
        <v>501</v>
      </c>
      <c r="C577" s="1">
        <v>26430</v>
      </c>
      <c r="D577" t="s">
        <v>1984</v>
      </c>
      <c r="E577" t="s">
        <v>1960</v>
      </c>
      <c r="F577" t="str">
        <f>IF(separador &gt; 0, LEFT(E577,separador - 1), E577)</f>
        <v>London</v>
      </c>
      <c r="G577" t="str">
        <f>IF(separador &gt; 0, RIGHT(E577,largo -separador - 1),"-")</f>
        <v>-</v>
      </c>
      <c r="H577" t="s">
        <v>4169</v>
      </c>
      <c r="I577" t="s">
        <v>3181</v>
      </c>
      <c r="J577" s="2">
        <v>42719.361620370371</v>
      </c>
      <c r="K577" t="s">
        <v>3670</v>
      </c>
      <c r="M577">
        <f>IFERROR(FIND(",",E577),0)</f>
        <v>0</v>
      </c>
      <c r="N577">
        <f>LEN(E577)</f>
        <v>6</v>
      </c>
    </row>
    <row r="578" spans="1:14" outlineLevel="2" x14ac:dyDescent="0.3">
      <c r="A578" s="4" t="s">
        <v>4750</v>
      </c>
      <c r="B578" s="4" t="s">
        <v>78</v>
      </c>
      <c r="C578" s="12">
        <v>26346</v>
      </c>
      <c r="D578" s="4" t="s">
        <v>1150</v>
      </c>
      <c r="E578" s="4" t="s">
        <v>1151</v>
      </c>
      <c r="F578" s="4" t="str">
        <f>IF(separador &gt; 0, LEFT(E578,separador - 1), E578)</f>
        <v>WALSALL</v>
      </c>
      <c r="G578" s="4" t="str">
        <f>IF(separador &gt; 0, RIGHT(E578,largo -separador - 1),"-")</f>
        <v>-</v>
      </c>
      <c r="H578" s="4" t="s">
        <v>3746</v>
      </c>
      <c r="I578" s="4" t="s">
        <v>2764</v>
      </c>
      <c r="J578" s="13">
        <v>42268.358124999999</v>
      </c>
      <c r="K578" s="4" t="s">
        <v>3670</v>
      </c>
      <c r="M578" s="4">
        <f>IFERROR(FIND(",",E578),0)</f>
        <v>0</v>
      </c>
      <c r="N578" s="4">
        <f>LEN(E578)</f>
        <v>7</v>
      </c>
    </row>
    <row r="579" spans="1:14" outlineLevel="2" x14ac:dyDescent="0.3">
      <c r="A579" t="s">
        <v>5374</v>
      </c>
      <c r="B579" t="s">
        <v>702</v>
      </c>
      <c r="C579" s="1">
        <v>26286</v>
      </c>
      <c r="D579" t="s">
        <v>2250</v>
      </c>
      <c r="E579" t="s">
        <v>1960</v>
      </c>
      <c r="F579" t="str">
        <f>IF(separador &gt; 0, LEFT(E579,separador - 1), E579)</f>
        <v>London</v>
      </c>
      <c r="G579" t="str">
        <f>IF(separador &gt; 0, RIGHT(E579,largo -separador - 1),"-")</f>
        <v>-</v>
      </c>
      <c r="H579" t="s">
        <v>4370</v>
      </c>
      <c r="I579" t="s">
        <v>3378</v>
      </c>
      <c r="J579" s="2">
        <v>43001.872546296298</v>
      </c>
      <c r="K579" t="s">
        <v>3670</v>
      </c>
      <c r="M579">
        <f>IFERROR(FIND(",",E579),0)</f>
        <v>0</v>
      </c>
      <c r="N579">
        <f>LEN(E579)</f>
        <v>6</v>
      </c>
    </row>
    <row r="580" spans="1:14" outlineLevel="2" x14ac:dyDescent="0.3">
      <c r="A580" s="4" t="s">
        <v>5587</v>
      </c>
      <c r="B580" s="4" t="s">
        <v>915</v>
      </c>
      <c r="C580" s="12">
        <v>26258</v>
      </c>
      <c r="D580" s="4" t="s">
        <v>2602</v>
      </c>
      <c r="E580" s="4" t="s">
        <v>2376</v>
      </c>
      <c r="F580" s="4" t="str">
        <f>IF(separador &gt; 0, LEFT(E580,separador - 1), E580)</f>
        <v>Brooklyn</v>
      </c>
      <c r="G580" s="4" t="str">
        <f>IF(separador &gt; 0, RIGHT(E580,largo -separador - 1),"-")</f>
        <v>NY 11204</v>
      </c>
      <c r="H580" s="4" t="s">
        <v>4583</v>
      </c>
      <c r="I580" s="4" t="s">
        <v>3585</v>
      </c>
      <c r="J580" s="13">
        <v>39207.77008101852</v>
      </c>
      <c r="K580" s="4" t="s">
        <v>3670</v>
      </c>
      <c r="M580" s="4">
        <f>IFERROR(FIND(",",E580),0)</f>
        <v>9</v>
      </c>
      <c r="N580" s="4">
        <f>LEN(E580)</f>
        <v>18</v>
      </c>
    </row>
    <row r="581" spans="1:14" outlineLevel="2" x14ac:dyDescent="0.3">
      <c r="A581" t="s">
        <v>5101</v>
      </c>
      <c r="B581" t="s">
        <v>429</v>
      </c>
      <c r="C581" s="1">
        <v>26242</v>
      </c>
      <c r="D581" t="s">
        <v>1851</v>
      </c>
      <c r="E581" t="s">
        <v>1852</v>
      </c>
      <c r="F581" t="str">
        <f>IF(separador &gt; 0, LEFT(E581,separador - 1), E581)</f>
        <v>8847 Oakwood St.</v>
      </c>
      <c r="G581" t="str">
        <f>IF(separador &gt; 0, RIGHT(E581,largo -separador - 1),"-")</f>
        <v>-</v>
      </c>
      <c r="H581" t="s">
        <v>4097</v>
      </c>
      <c r="I581" t="s">
        <v>3110</v>
      </c>
      <c r="J581" s="2">
        <v>43727.513807870368</v>
      </c>
      <c r="K581" t="s">
        <v>3670</v>
      </c>
      <c r="M581">
        <f>IFERROR(FIND(",",E581),0)</f>
        <v>0</v>
      </c>
      <c r="N581">
        <f>LEN(E581)</f>
        <v>16</v>
      </c>
    </row>
    <row r="582" spans="1:14" outlineLevel="2" x14ac:dyDescent="0.3">
      <c r="A582" s="4" t="s">
        <v>4799</v>
      </c>
      <c r="B582" s="4" t="s">
        <v>127</v>
      </c>
      <c r="C582" s="12">
        <v>26082</v>
      </c>
      <c r="D582" s="4" t="s">
        <v>1248</v>
      </c>
      <c r="E582" s="4" t="s">
        <v>1249</v>
      </c>
      <c r="F582" s="4" t="str">
        <f>IF(separador &gt; 0, LEFT(E582,separador - 1), E582)</f>
        <v>Los Angeles</v>
      </c>
      <c r="G582" s="4" t="str">
        <f>IF(separador &gt; 0, RIGHT(E582,largo -separador - 1),"-")</f>
        <v>CA 90022</v>
      </c>
      <c r="H582" s="4" t="s">
        <v>3795</v>
      </c>
      <c r="I582" s="4" t="s">
        <v>2813</v>
      </c>
      <c r="J582" s="13">
        <v>38685.293888888889</v>
      </c>
      <c r="K582" s="4" t="s">
        <v>3670</v>
      </c>
      <c r="M582" s="4">
        <f>IFERROR(FIND(",",E582),0)</f>
        <v>12</v>
      </c>
      <c r="N582" s="4">
        <f>LEN(E582)</f>
        <v>21</v>
      </c>
    </row>
    <row r="583" spans="1:14" outlineLevel="2" x14ac:dyDescent="0.3">
      <c r="A583" t="s">
        <v>5263</v>
      </c>
      <c r="B583" t="s">
        <v>591</v>
      </c>
      <c r="C583" s="1">
        <v>26044</v>
      </c>
      <c r="D583" t="s">
        <v>2103</v>
      </c>
      <c r="E583" t="s">
        <v>1960</v>
      </c>
      <c r="F583" t="str">
        <f>IF(separador &gt; 0, LEFT(E583,separador - 1), E583)</f>
        <v>London</v>
      </c>
      <c r="G583" t="str">
        <f>IF(separador &gt; 0, RIGHT(E583,largo -separador - 1),"-")</f>
        <v>-</v>
      </c>
      <c r="H583" t="s">
        <v>4259</v>
      </c>
      <c r="I583" t="s">
        <v>3269</v>
      </c>
      <c r="J583" s="2">
        <v>39936.895613425928</v>
      </c>
      <c r="K583" t="s">
        <v>3670</v>
      </c>
      <c r="M583">
        <f>IFERROR(FIND(",",E583),0)</f>
        <v>0</v>
      </c>
      <c r="N583">
        <f>LEN(E583)</f>
        <v>6</v>
      </c>
    </row>
    <row r="584" spans="1:14" outlineLevel="2" x14ac:dyDescent="0.3">
      <c r="A584" s="4" t="s">
        <v>5160</v>
      </c>
      <c r="B584" s="4" t="s">
        <v>488</v>
      </c>
      <c r="C584" s="12">
        <v>25933</v>
      </c>
      <c r="D584" s="4" t="s">
        <v>1960</v>
      </c>
      <c r="E584" s="4" t="s">
        <v>1967</v>
      </c>
      <c r="F584" s="4" t="str">
        <f>IF(separador &gt; 0, LEFT(E584,separador - 1), E584)</f>
        <v>SE80 5TY</v>
      </c>
      <c r="G584" s="4" t="str">
        <f>IF(separador &gt; 0, RIGHT(E584,largo -separador - 1),"-")</f>
        <v>-</v>
      </c>
      <c r="H584" s="4" t="s">
        <v>4156</v>
      </c>
      <c r="I584" s="4" t="s">
        <v>3168</v>
      </c>
      <c r="J584" s="13">
        <v>39280.830069444448</v>
      </c>
      <c r="K584" s="4" t="s">
        <v>3670</v>
      </c>
      <c r="M584" s="4">
        <f>IFERROR(FIND(",",E584),0)</f>
        <v>0</v>
      </c>
      <c r="N584" s="4">
        <f>LEN(E584)</f>
        <v>8</v>
      </c>
    </row>
    <row r="585" spans="1:14" outlineLevel="2" x14ac:dyDescent="0.3">
      <c r="A585" t="s">
        <v>5295</v>
      </c>
      <c r="B585" t="s">
        <v>623</v>
      </c>
      <c r="C585" s="1">
        <v>25911</v>
      </c>
      <c r="D585" t="s">
        <v>1960</v>
      </c>
      <c r="E585" t="s">
        <v>2146</v>
      </c>
      <c r="F585" t="str">
        <f>IF(separador &gt; 0, LEFT(E585,separador - 1), E585)</f>
        <v>E86 3DU</v>
      </c>
      <c r="G585" t="str">
        <f>IF(separador &gt; 0, RIGHT(E585,largo -separador - 1),"-")</f>
        <v>-</v>
      </c>
      <c r="H585" t="s">
        <v>4291</v>
      </c>
      <c r="I585" t="s">
        <v>3300</v>
      </c>
      <c r="J585" s="2">
        <v>43699.444224537037</v>
      </c>
      <c r="K585" t="s">
        <v>3670</v>
      </c>
      <c r="M585">
        <f>IFERROR(FIND(",",E585),0)</f>
        <v>0</v>
      </c>
      <c r="N585">
        <f>LEN(E585)</f>
        <v>7</v>
      </c>
    </row>
    <row r="586" spans="1:14" outlineLevel="2" x14ac:dyDescent="0.3">
      <c r="A586" s="4" t="s">
        <v>4828</v>
      </c>
      <c r="B586" s="4" t="s">
        <v>156</v>
      </c>
      <c r="C586" s="12">
        <v>25837</v>
      </c>
      <c r="D586" s="4" t="s">
        <v>1306</v>
      </c>
      <c r="E586" s="4" t="s">
        <v>1307</v>
      </c>
      <c r="F586" s="4" t="str">
        <f>IF(separador &gt; 0, LEFT(E586,separador - 1), E586)</f>
        <v>Lynwood</v>
      </c>
      <c r="G586" s="4" t="str">
        <f>IF(separador &gt; 0, RIGHT(E586,largo -separador - 1),"-")</f>
        <v>CA 90262</v>
      </c>
      <c r="H586" s="4" t="s">
        <v>3824</v>
      </c>
      <c r="I586" s="4" t="s">
        <v>2842</v>
      </c>
      <c r="J586" s="13">
        <v>40759.222280092596</v>
      </c>
      <c r="K586" s="4" t="s">
        <v>3670</v>
      </c>
      <c r="M586" s="4">
        <f>IFERROR(FIND(",",E586),0)</f>
        <v>8</v>
      </c>
      <c r="N586" s="4">
        <f>LEN(E586)</f>
        <v>17</v>
      </c>
    </row>
    <row r="587" spans="1:14" outlineLevel="2" x14ac:dyDescent="0.3">
      <c r="A587" t="s">
        <v>4866</v>
      </c>
      <c r="B587" t="s">
        <v>194</v>
      </c>
      <c r="C587" s="1">
        <v>25720</v>
      </c>
      <c r="D587" t="s">
        <v>1382</v>
      </c>
      <c r="E587" t="s">
        <v>1383</v>
      </c>
      <c r="F587" t="str">
        <f>IF(separador &gt; 0, LEFT(E587,separador - 1), E587)</f>
        <v>9048 Birchwood Avenue</v>
      </c>
      <c r="G587" t="str">
        <f>IF(separador &gt; 0, RIGHT(E587,largo -separador - 1),"-")</f>
        <v>-</v>
      </c>
      <c r="H587" t="s">
        <v>3862</v>
      </c>
      <c r="I587" t="s">
        <v>2878</v>
      </c>
      <c r="J587" s="2">
        <v>41318.354768518519</v>
      </c>
      <c r="K587" t="s">
        <v>3670</v>
      </c>
      <c r="M587">
        <f>IFERROR(FIND(",",E587),0)</f>
        <v>0</v>
      </c>
      <c r="N587">
        <f>LEN(E587)</f>
        <v>21</v>
      </c>
    </row>
    <row r="588" spans="1:14" outlineLevel="2" x14ac:dyDescent="0.3">
      <c r="A588" s="4" t="s">
        <v>5364</v>
      </c>
      <c r="B588" s="4" t="s">
        <v>692</v>
      </c>
      <c r="C588" s="12">
        <v>25671</v>
      </c>
      <c r="D588" s="4" t="s">
        <v>1960</v>
      </c>
      <c r="E588" s="4" t="s">
        <v>2238</v>
      </c>
      <c r="F588" s="4" t="str">
        <f>IF(separador &gt; 0, LEFT(E588,separador - 1), E588)</f>
        <v>E25 7BW</v>
      </c>
      <c r="G588" s="4" t="str">
        <f>IF(separador &gt; 0, RIGHT(E588,largo -separador - 1),"-")</f>
        <v>-</v>
      </c>
      <c r="H588" s="4" t="s">
        <v>4360</v>
      </c>
      <c r="I588" s="4" t="s">
        <v>3368</v>
      </c>
      <c r="J588" s="13">
        <v>40693.788055555553</v>
      </c>
      <c r="K588" s="4" t="s">
        <v>3670</v>
      </c>
      <c r="M588" s="4">
        <f>IFERROR(FIND(",",E588),0)</f>
        <v>0</v>
      </c>
      <c r="N588" s="4">
        <f>LEN(E588)</f>
        <v>7</v>
      </c>
    </row>
    <row r="589" spans="1:14" outlineLevel="2" x14ac:dyDescent="0.3">
      <c r="A589" t="s">
        <v>5592</v>
      </c>
      <c r="B589" t="s">
        <v>920</v>
      </c>
      <c r="C589" s="1">
        <v>25572</v>
      </c>
      <c r="D589" t="s">
        <v>2607</v>
      </c>
      <c r="E589" t="s">
        <v>2464</v>
      </c>
      <c r="F589" t="str">
        <f>IF(separador &gt; 0, LEFT(E589,separador - 1), E589)</f>
        <v>Westbury</v>
      </c>
      <c r="G589" t="str">
        <f>IF(separador &gt; 0, RIGHT(E589,largo -separador - 1),"-")</f>
        <v>NY 11590</v>
      </c>
      <c r="H589" t="s">
        <v>4588</v>
      </c>
      <c r="I589" t="s">
        <v>3589</v>
      </c>
      <c r="J589" s="2">
        <v>40527.02039351852</v>
      </c>
      <c r="K589" t="s">
        <v>3670</v>
      </c>
      <c r="M589">
        <f>IFERROR(FIND(",",E589),0)</f>
        <v>9</v>
      </c>
      <c r="N589">
        <f>LEN(E589)</f>
        <v>18</v>
      </c>
    </row>
    <row r="590" spans="1:14" outlineLevel="2" x14ac:dyDescent="0.3">
      <c r="A590" s="4" t="s">
        <v>5226</v>
      </c>
      <c r="B590" s="4" t="s">
        <v>554</v>
      </c>
      <c r="C590" s="12">
        <v>25570</v>
      </c>
      <c r="D590" s="4" t="s">
        <v>1960</v>
      </c>
      <c r="E590" s="4" t="s">
        <v>2054</v>
      </c>
      <c r="F590" s="4" t="str">
        <f>IF(separador &gt; 0, LEFT(E590,separador - 1), E590)</f>
        <v>EC82 3UN</v>
      </c>
      <c r="G590" s="4" t="str">
        <f>IF(separador &gt; 0, RIGHT(E590,largo -separador - 1),"-")</f>
        <v>-</v>
      </c>
      <c r="H590" s="4" t="s">
        <v>4222</v>
      </c>
      <c r="I590" s="4" t="s">
        <v>3234</v>
      </c>
      <c r="J590" s="13">
        <v>43825.128634259258</v>
      </c>
      <c r="K590" s="4" t="s">
        <v>3670</v>
      </c>
      <c r="M590" s="4">
        <f>IFERROR(FIND(",",E590),0)</f>
        <v>0</v>
      </c>
      <c r="N590" s="4">
        <f>LEN(E590)</f>
        <v>8</v>
      </c>
    </row>
    <row r="591" spans="1:14" outlineLevel="2" x14ac:dyDescent="0.3">
      <c r="A591" t="s">
        <v>5635</v>
      </c>
      <c r="B591" t="s">
        <v>963</v>
      </c>
      <c r="C591" s="1">
        <v>25569</v>
      </c>
      <c r="D591" t="s">
        <v>2650</v>
      </c>
      <c r="E591" t="s">
        <v>2460</v>
      </c>
      <c r="F591" t="str">
        <f>IF(separador &gt; 0, LEFT(E591,separador - 1), E591)</f>
        <v>Bronx</v>
      </c>
      <c r="G591" t="str">
        <f>IF(separador &gt; 0, RIGHT(E591,largo -separador - 1),"-")</f>
        <v>NY 10469</v>
      </c>
      <c r="H591" t="s">
        <v>4631</v>
      </c>
      <c r="I591" t="s">
        <v>3631</v>
      </c>
      <c r="J591" s="2">
        <v>43814.76730324074</v>
      </c>
      <c r="K591" t="s">
        <v>3670</v>
      </c>
      <c r="M591">
        <f>IFERROR(FIND(",",E591),0)</f>
        <v>6</v>
      </c>
      <c r="N591">
        <f>LEN(E591)</f>
        <v>15</v>
      </c>
    </row>
    <row r="592" spans="1:14" outlineLevel="1" x14ac:dyDescent="0.3">
      <c r="J592" s="3" t="s">
        <v>5682</v>
      </c>
      <c r="K592">
        <f>SUBTOTAL(3,K402:K591)</f>
        <v>190</v>
      </c>
    </row>
    <row r="593" spans="1:14" outlineLevel="2" x14ac:dyDescent="0.3">
      <c r="A593" s="4" t="s">
        <v>5418</v>
      </c>
      <c r="B593" s="4" t="s">
        <v>746</v>
      </c>
      <c r="C593" s="12">
        <v>36580</v>
      </c>
      <c r="D593" s="4" t="s">
        <v>1960</v>
      </c>
      <c r="E593" s="4" t="s">
        <v>2309</v>
      </c>
      <c r="F593" s="4" t="str">
        <f>IF(separador &gt; 0, LEFT(E593,separador - 1), E593)</f>
        <v>WC71 0UF</v>
      </c>
      <c r="G593" s="4" t="str">
        <f>IF(separador &gt; 0, RIGHT(E593,largo -separador - 1),"-")</f>
        <v>-</v>
      </c>
      <c r="H593" s="4" t="s">
        <v>4414</v>
      </c>
      <c r="I593" s="4" t="s">
        <v>3420</v>
      </c>
      <c r="J593" s="13">
        <v>41837.452685185184</v>
      </c>
      <c r="K593" s="4" t="s">
        <v>3671</v>
      </c>
      <c r="M593" s="4">
        <f>IFERROR(FIND(",",E593),0)</f>
        <v>0</v>
      </c>
      <c r="N593" s="4">
        <f>LEN(E593)</f>
        <v>8</v>
      </c>
    </row>
    <row r="594" spans="1:14" outlineLevel="2" x14ac:dyDescent="0.3">
      <c r="A594" t="s">
        <v>4689</v>
      </c>
      <c r="B594" t="s">
        <v>17</v>
      </c>
      <c r="C594" s="1">
        <v>36577</v>
      </c>
      <c r="D594" t="s">
        <v>1028</v>
      </c>
      <c r="E594" t="s">
        <v>1029</v>
      </c>
      <c r="F594" t="str">
        <f>IF(separador &gt; 0, LEFT(E594,separador - 1), E594)</f>
        <v>Dalton</v>
      </c>
      <c r="G594" t="str">
        <f>IF(separador &gt; 0, RIGHT(E594,largo -separador - 1),"-")</f>
        <v>GA 30721</v>
      </c>
      <c r="H594" t="s">
        <v>3685</v>
      </c>
      <c r="I594" t="s">
        <v>2703</v>
      </c>
      <c r="J594" s="2">
        <v>41997.460277777776</v>
      </c>
      <c r="K594" t="s">
        <v>3671</v>
      </c>
      <c r="M594">
        <f>IFERROR(FIND(",",E594),0)</f>
        <v>7</v>
      </c>
      <c r="N594">
        <f>LEN(E594)</f>
        <v>16</v>
      </c>
    </row>
    <row r="595" spans="1:14" outlineLevel="2" x14ac:dyDescent="0.3">
      <c r="A595" s="4" t="s">
        <v>5165</v>
      </c>
      <c r="B595" s="4" t="s">
        <v>493</v>
      </c>
      <c r="C595" s="12">
        <v>36454</v>
      </c>
      <c r="D595" s="4" t="s">
        <v>1973</v>
      </c>
      <c r="E595" s="4" t="s">
        <v>1974</v>
      </c>
      <c r="F595" s="4" t="str">
        <f>IF(separador &gt; 0, LEFT(E595,separador - 1), E595)</f>
        <v>16 West Street</v>
      </c>
      <c r="G595" s="4" t="str">
        <f>IF(separador &gt; 0, RIGHT(E595,largo -separador - 1),"-")</f>
        <v>-</v>
      </c>
      <c r="H595" s="4" t="s">
        <v>4161</v>
      </c>
      <c r="I595" s="4" t="s">
        <v>3173</v>
      </c>
      <c r="J595" s="13">
        <v>38790.970196759263</v>
      </c>
      <c r="K595" s="4" t="s">
        <v>3671</v>
      </c>
      <c r="M595" s="4">
        <f>IFERROR(FIND(",",E595),0)</f>
        <v>0</v>
      </c>
      <c r="N595" s="4">
        <f>LEN(E595)</f>
        <v>14</v>
      </c>
    </row>
    <row r="596" spans="1:14" outlineLevel="2" x14ac:dyDescent="0.3">
      <c r="A596" t="s">
        <v>4804</v>
      </c>
      <c r="B596" t="s">
        <v>132</v>
      </c>
      <c r="C596" s="1">
        <v>36425</v>
      </c>
      <c r="D596" t="s">
        <v>1258</v>
      </c>
      <c r="E596" t="s">
        <v>1259</v>
      </c>
      <c r="F596" t="str">
        <f>IF(separador &gt; 0, LEFT(E596,separador - 1), E596)</f>
        <v>Fountain Valley</v>
      </c>
      <c r="G596" t="str">
        <f>IF(separador &gt; 0, RIGHT(E596,largo -separador - 1),"-")</f>
        <v>CA 92708</v>
      </c>
      <c r="H596" t="s">
        <v>3800</v>
      </c>
      <c r="I596" t="s">
        <v>2818</v>
      </c>
      <c r="J596" s="2">
        <v>39259.242337962962</v>
      </c>
      <c r="K596" t="s">
        <v>3671</v>
      </c>
      <c r="M596">
        <f>IFERROR(FIND(",",E596),0)</f>
        <v>16</v>
      </c>
      <c r="N596">
        <f>LEN(E596)</f>
        <v>25</v>
      </c>
    </row>
    <row r="597" spans="1:14" outlineLevel="2" x14ac:dyDescent="0.3">
      <c r="A597" s="4" t="s">
        <v>4841</v>
      </c>
      <c r="B597" s="4" t="s">
        <v>169</v>
      </c>
      <c r="C597" s="12">
        <v>36285</v>
      </c>
      <c r="D597" s="4" t="s">
        <v>1332</v>
      </c>
      <c r="E597" s="4" t="s">
        <v>1333</v>
      </c>
      <c r="F597" s="4" t="str">
        <f>IF(separador &gt; 0, LEFT(E597,separador - 1), E597)</f>
        <v>Rosemead</v>
      </c>
      <c r="G597" s="4" t="str">
        <f>IF(separador &gt; 0, RIGHT(E597,largo -separador - 1),"-")</f>
        <v>CA 91770</v>
      </c>
      <c r="H597" s="4" t="s">
        <v>3837</v>
      </c>
      <c r="I597" s="4" t="s">
        <v>2854</v>
      </c>
      <c r="J597" s="13">
        <v>43258.849386574075</v>
      </c>
      <c r="K597" s="4" t="s">
        <v>3671</v>
      </c>
      <c r="M597" s="4">
        <f>IFERROR(FIND(",",E597),0)</f>
        <v>9</v>
      </c>
      <c r="N597" s="4">
        <f>LEN(E597)</f>
        <v>18</v>
      </c>
    </row>
    <row r="598" spans="1:14" outlineLevel="2" x14ac:dyDescent="0.3">
      <c r="A598" t="s">
        <v>5179</v>
      </c>
      <c r="B598" t="s">
        <v>507</v>
      </c>
      <c r="C598" s="1">
        <v>36210</v>
      </c>
      <c r="D598" t="s">
        <v>1992</v>
      </c>
      <c r="E598" t="s">
        <v>1960</v>
      </c>
      <c r="F598" t="str">
        <f>IF(separador &gt; 0, LEFT(E598,separador - 1), E598)</f>
        <v>London</v>
      </c>
      <c r="G598" t="str">
        <f>IF(separador &gt; 0, RIGHT(E598,largo -separador - 1),"-")</f>
        <v>-</v>
      </c>
      <c r="H598" t="s">
        <v>4175</v>
      </c>
      <c r="I598" t="s">
        <v>3187</v>
      </c>
      <c r="J598" s="2">
        <v>38764.817118055558</v>
      </c>
      <c r="K598" t="s">
        <v>3671</v>
      </c>
      <c r="M598">
        <f>IFERROR(FIND(",",E598),0)</f>
        <v>0</v>
      </c>
      <c r="N598">
        <f>LEN(E598)</f>
        <v>6</v>
      </c>
    </row>
    <row r="599" spans="1:14" outlineLevel="2" x14ac:dyDescent="0.3">
      <c r="A599" s="4" t="s">
        <v>5104</v>
      </c>
      <c r="B599" s="4" t="s">
        <v>432</v>
      </c>
      <c r="C599" s="12">
        <v>36143</v>
      </c>
      <c r="D599" s="4" t="s">
        <v>1857</v>
      </c>
      <c r="E599" s="4" t="s">
        <v>1858</v>
      </c>
      <c r="F599" s="4" t="str">
        <f>IF(separador &gt; 0, LEFT(E599,separador - 1), E599)</f>
        <v>214 Adams Street</v>
      </c>
      <c r="G599" s="4" t="str">
        <f>IF(separador &gt; 0, RIGHT(E599,largo -separador - 1),"-")</f>
        <v>-</v>
      </c>
      <c r="H599" s="4" t="s">
        <v>4100</v>
      </c>
      <c r="I599" s="4" t="s">
        <v>3113</v>
      </c>
      <c r="J599" s="13">
        <v>41829.181319444448</v>
      </c>
      <c r="K599" s="4" t="s">
        <v>3671</v>
      </c>
      <c r="M599" s="4">
        <f>IFERROR(FIND(",",E599),0)</f>
        <v>0</v>
      </c>
      <c r="N599" s="4">
        <f>LEN(E599)</f>
        <v>16</v>
      </c>
    </row>
    <row r="600" spans="1:14" outlineLevel="2" x14ac:dyDescent="0.3">
      <c r="A600" t="s">
        <v>5178</v>
      </c>
      <c r="B600" t="s">
        <v>506</v>
      </c>
      <c r="C600" s="1">
        <v>36106</v>
      </c>
      <c r="D600" t="s">
        <v>1960</v>
      </c>
      <c r="E600" t="s">
        <v>1991</v>
      </c>
      <c r="F600" t="str">
        <f>IF(separador &gt; 0, LEFT(E600,separador - 1), E600)</f>
        <v>NW45 7HR</v>
      </c>
      <c r="G600" t="str">
        <f>IF(separador &gt; 0, RIGHT(E600,largo -separador - 1),"-")</f>
        <v>-</v>
      </c>
      <c r="H600" t="s">
        <v>4174</v>
      </c>
      <c r="I600" t="s">
        <v>3186</v>
      </c>
      <c r="J600" s="2">
        <v>39783.546747685185</v>
      </c>
      <c r="K600" t="s">
        <v>3671</v>
      </c>
      <c r="M600">
        <f>IFERROR(FIND(",",E600),0)</f>
        <v>0</v>
      </c>
      <c r="N600">
        <f>LEN(E600)</f>
        <v>8</v>
      </c>
    </row>
    <row r="601" spans="1:14" outlineLevel="2" x14ac:dyDescent="0.3">
      <c r="A601" s="4" t="s">
        <v>4860</v>
      </c>
      <c r="B601" s="4" t="s">
        <v>188</v>
      </c>
      <c r="C601" s="12">
        <v>36088</v>
      </c>
      <c r="D601" s="4" t="s">
        <v>1370</v>
      </c>
      <c r="E601" s="4" t="s">
        <v>1371</v>
      </c>
      <c r="F601" s="4" t="str">
        <f>IF(separador &gt; 0, LEFT(E601,separador - 1), E601)</f>
        <v>13 E. Walnut St.</v>
      </c>
      <c r="G601" s="4" t="str">
        <f>IF(separador &gt; 0, RIGHT(E601,largo -separador - 1),"-")</f>
        <v>-</v>
      </c>
      <c r="H601" s="4" t="s">
        <v>3856</v>
      </c>
      <c r="I601" s="4" t="s">
        <v>2872</v>
      </c>
      <c r="J601" s="13">
        <v>40374.850636574076</v>
      </c>
      <c r="K601" s="4" t="s">
        <v>3671</v>
      </c>
      <c r="M601" s="4">
        <f>IFERROR(FIND(",",E601),0)</f>
        <v>0</v>
      </c>
      <c r="N601" s="4">
        <f>LEN(E601)</f>
        <v>16</v>
      </c>
    </row>
    <row r="602" spans="1:14" outlineLevel="2" x14ac:dyDescent="0.3">
      <c r="A602" t="s">
        <v>5674</v>
      </c>
      <c r="B602" t="s">
        <v>1002</v>
      </c>
      <c r="C602" s="1">
        <v>36041</v>
      </c>
      <c r="D602" t="s">
        <v>2689</v>
      </c>
      <c r="E602" t="s">
        <v>2356</v>
      </c>
      <c r="F602" t="str">
        <f>IF(separador &gt; 0, LEFT(E602,separador - 1), E602)</f>
        <v>Spring Valley</v>
      </c>
      <c r="G602" t="str">
        <f>IF(separador &gt; 0, RIGHT(E602,largo -separador - 1),"-")</f>
        <v>NY 10977</v>
      </c>
      <c r="H602" t="s">
        <v>4670</v>
      </c>
      <c r="I602" t="s">
        <v>3666</v>
      </c>
      <c r="J602" s="2">
        <v>42502.694120370368</v>
      </c>
      <c r="K602" t="s">
        <v>3671</v>
      </c>
      <c r="M602">
        <f>IFERROR(FIND(",",E602),0)</f>
        <v>14</v>
      </c>
      <c r="N602">
        <f>LEN(E602)</f>
        <v>23</v>
      </c>
    </row>
    <row r="603" spans="1:14" outlineLevel="2" x14ac:dyDescent="0.3">
      <c r="A603" s="4" t="s">
        <v>4951</v>
      </c>
      <c r="B603" s="4" t="s">
        <v>279</v>
      </c>
      <c r="C603" s="12">
        <v>36039</v>
      </c>
      <c r="D603" s="4" t="s">
        <v>1552</v>
      </c>
      <c r="E603" s="4" t="s">
        <v>1553</v>
      </c>
      <c r="F603" s="4" t="str">
        <f>IF(separador &gt; 0, LEFT(E603,separador - 1), E603)</f>
        <v>67 Sheffield Ave.</v>
      </c>
      <c r="G603" s="4" t="str">
        <f>IF(separador &gt; 0, RIGHT(E603,largo -separador - 1),"-")</f>
        <v>-</v>
      </c>
      <c r="H603" s="4" t="s">
        <v>3947</v>
      </c>
      <c r="I603" s="4" t="s">
        <v>2962</v>
      </c>
      <c r="J603" s="13">
        <v>39841.491585648146</v>
      </c>
      <c r="K603" s="4" t="s">
        <v>3671</v>
      </c>
      <c r="M603" s="4">
        <f>IFERROR(FIND(",",E603),0)</f>
        <v>0</v>
      </c>
      <c r="N603" s="4">
        <f>LEN(E603)</f>
        <v>17</v>
      </c>
    </row>
    <row r="604" spans="1:14" outlineLevel="2" x14ac:dyDescent="0.3">
      <c r="A604" t="s">
        <v>5108</v>
      </c>
      <c r="B604" t="s">
        <v>436</v>
      </c>
      <c r="C604" s="1">
        <v>36001</v>
      </c>
      <c r="D604" t="s">
        <v>1865</v>
      </c>
      <c r="E604" t="s">
        <v>1866</v>
      </c>
      <c r="F604" t="str">
        <f>IF(separador &gt; 0, LEFT(E604,separador - 1), E604)</f>
        <v>7704 Vale Ave.</v>
      </c>
      <c r="G604" t="str">
        <f>IF(separador &gt; 0, RIGHT(E604,largo -separador - 1),"-")</f>
        <v>-</v>
      </c>
      <c r="H604" t="s">
        <v>4104</v>
      </c>
      <c r="I604" t="s">
        <v>3117</v>
      </c>
      <c r="J604" s="2">
        <v>39901.056712962964</v>
      </c>
      <c r="K604" t="s">
        <v>3671</v>
      </c>
      <c r="M604">
        <f>IFERROR(FIND(",",E604),0)</f>
        <v>0</v>
      </c>
      <c r="N604">
        <f>LEN(E604)</f>
        <v>14</v>
      </c>
    </row>
    <row r="605" spans="1:14" outlineLevel="2" x14ac:dyDescent="0.3">
      <c r="A605" s="4" t="s">
        <v>5077</v>
      </c>
      <c r="B605" s="4" t="s">
        <v>405</v>
      </c>
      <c r="C605" s="12">
        <v>35935</v>
      </c>
      <c r="D605" s="4" t="s">
        <v>1804</v>
      </c>
      <c r="E605" s="4" t="s">
        <v>1805</v>
      </c>
      <c r="F605" s="4" t="str">
        <f>IF(separador &gt; 0, LEFT(E605,separador - 1), E605)</f>
        <v>8241 Devon Dr.</v>
      </c>
      <c r="G605" s="4" t="str">
        <f>IF(separador &gt; 0, RIGHT(E605,largo -separador - 1),"-")</f>
        <v>-</v>
      </c>
      <c r="H605" s="4" t="s">
        <v>4073</v>
      </c>
      <c r="I605" s="4" t="s">
        <v>3087</v>
      </c>
      <c r="J605" s="13">
        <v>41152.462604166663</v>
      </c>
      <c r="K605" s="4" t="s">
        <v>3671</v>
      </c>
      <c r="M605" s="4">
        <f>IFERROR(FIND(",",E605),0)</f>
        <v>0</v>
      </c>
      <c r="N605" s="4">
        <f>LEN(E605)</f>
        <v>14</v>
      </c>
    </row>
    <row r="606" spans="1:14" outlineLevel="2" x14ac:dyDescent="0.3">
      <c r="A606" t="s">
        <v>5490</v>
      </c>
      <c r="B606" t="s">
        <v>818</v>
      </c>
      <c r="C606" s="1">
        <v>35934</v>
      </c>
      <c r="D606" t="s">
        <v>2438</v>
      </c>
      <c r="E606" t="s">
        <v>2439</v>
      </c>
      <c r="F606" t="str">
        <f>IF(separador &gt; 0, LEFT(E606,separador - 1), E606)</f>
        <v>Bronx</v>
      </c>
      <c r="G606" t="str">
        <f>IF(separador &gt; 0, RIGHT(E606,largo -separador - 1),"-")</f>
        <v>NY 10462</v>
      </c>
      <c r="H606" t="s">
        <v>4486</v>
      </c>
      <c r="I606" t="s">
        <v>3489</v>
      </c>
      <c r="J606" s="2">
        <v>39796.232534722221</v>
      </c>
      <c r="K606" t="s">
        <v>3671</v>
      </c>
      <c r="M606">
        <f>IFERROR(FIND(",",E606),0)</f>
        <v>6</v>
      </c>
      <c r="N606">
        <f>LEN(E606)</f>
        <v>15</v>
      </c>
    </row>
    <row r="607" spans="1:14" outlineLevel="2" x14ac:dyDescent="0.3">
      <c r="A607" s="4" t="s">
        <v>4872</v>
      </c>
      <c r="B607" s="4" t="s">
        <v>200</v>
      </c>
      <c r="C607" s="12">
        <v>35916</v>
      </c>
      <c r="D607" s="4" t="s">
        <v>1394</v>
      </c>
      <c r="E607" s="4" t="s">
        <v>1395</v>
      </c>
      <c r="F607" s="4" t="str">
        <f>IF(separador &gt; 0, LEFT(E607,separador - 1), E607)</f>
        <v>9814 Primrose Street</v>
      </c>
      <c r="G607" s="4" t="str">
        <f>IF(separador &gt; 0, RIGHT(E607,largo -separador - 1),"-")</f>
        <v>-</v>
      </c>
      <c r="H607" s="4" t="s">
        <v>3868</v>
      </c>
      <c r="I607" s="4" t="s">
        <v>2884</v>
      </c>
      <c r="J607" s="13">
        <v>38468.927534722221</v>
      </c>
      <c r="K607" s="4" t="s">
        <v>3671</v>
      </c>
      <c r="M607" s="4">
        <f>IFERROR(FIND(",",E607),0)</f>
        <v>0</v>
      </c>
      <c r="N607" s="4">
        <f>LEN(E607)</f>
        <v>20</v>
      </c>
    </row>
    <row r="608" spans="1:14" outlineLevel="2" x14ac:dyDescent="0.3">
      <c r="A608" t="s">
        <v>4973</v>
      </c>
      <c r="B608" t="s">
        <v>301</v>
      </c>
      <c r="C608" s="1">
        <v>35892</v>
      </c>
      <c r="D608" t="s">
        <v>1596</v>
      </c>
      <c r="E608" t="s">
        <v>1597</v>
      </c>
      <c r="F608" t="str">
        <f>IF(separador &gt; 0, LEFT(E608,separador - 1), E608)</f>
        <v>8557 West Greenview Dr.</v>
      </c>
      <c r="G608" t="str">
        <f>IF(separador &gt; 0, RIGHT(E608,largo -separador - 1),"-")</f>
        <v>-</v>
      </c>
      <c r="H608" t="s">
        <v>3969</v>
      </c>
      <c r="I608" t="s">
        <v>2983</v>
      </c>
      <c r="J608" s="2">
        <v>44179.040590277778</v>
      </c>
      <c r="K608" t="s">
        <v>3671</v>
      </c>
      <c r="M608">
        <f>IFERROR(FIND(",",E608),0)</f>
        <v>0</v>
      </c>
      <c r="N608">
        <f>LEN(E608)</f>
        <v>23</v>
      </c>
    </row>
    <row r="609" spans="1:14" outlineLevel="2" x14ac:dyDescent="0.3">
      <c r="A609" s="4" t="s">
        <v>4887</v>
      </c>
      <c r="B609" s="4" t="s">
        <v>215</v>
      </c>
      <c r="C609" s="12">
        <v>35890</v>
      </c>
      <c r="D609" s="4" t="s">
        <v>1424</v>
      </c>
      <c r="E609" s="4" t="s">
        <v>1425</v>
      </c>
      <c r="F609" s="4" t="str">
        <f>IF(separador &gt; 0, LEFT(E609,separador - 1), E609)</f>
        <v>9551 Talbot Ave.</v>
      </c>
      <c r="G609" s="4" t="str">
        <f>IF(separador &gt; 0, RIGHT(E609,largo -separador - 1),"-")</f>
        <v>-</v>
      </c>
      <c r="H609" s="4" t="s">
        <v>3883</v>
      </c>
      <c r="I609" s="4" t="s">
        <v>2899</v>
      </c>
      <c r="J609" s="13">
        <v>42934.617800925924</v>
      </c>
      <c r="K609" s="4" t="s">
        <v>3671</v>
      </c>
      <c r="M609" s="4">
        <f>IFERROR(FIND(",",E609),0)</f>
        <v>0</v>
      </c>
      <c r="N609" s="4">
        <f>LEN(E609)</f>
        <v>16</v>
      </c>
    </row>
    <row r="610" spans="1:14" outlineLevel="2" x14ac:dyDescent="0.3">
      <c r="A610" t="s">
        <v>4852</v>
      </c>
      <c r="B610" t="s">
        <v>180</v>
      </c>
      <c r="C610" s="1">
        <v>35844</v>
      </c>
      <c r="D610" t="s">
        <v>1354</v>
      </c>
      <c r="E610" t="s">
        <v>1355</v>
      </c>
      <c r="F610" t="str">
        <f>IF(separador &gt; 0, LEFT(E610,separador - 1), E610)</f>
        <v>Oceanside</v>
      </c>
      <c r="G610" t="str">
        <f>IF(separador &gt; 0, RIGHT(E610,largo -separador - 1),"-")</f>
        <v>CA 92054</v>
      </c>
      <c r="H610" t="s">
        <v>3848</v>
      </c>
      <c r="I610" t="s">
        <v>2864</v>
      </c>
      <c r="J610" s="2">
        <v>40832.961793981478</v>
      </c>
      <c r="K610" t="s">
        <v>3671</v>
      </c>
      <c r="M610">
        <f>IFERROR(FIND(",",E610),0)</f>
        <v>10</v>
      </c>
      <c r="N610">
        <f>LEN(E610)</f>
        <v>19</v>
      </c>
    </row>
    <row r="611" spans="1:14" outlineLevel="2" x14ac:dyDescent="0.3">
      <c r="A611" s="4" t="s">
        <v>4811</v>
      </c>
      <c r="B611" s="4" t="s">
        <v>139</v>
      </c>
      <c r="C611" s="12">
        <v>35792</v>
      </c>
      <c r="D611" s="4" t="s">
        <v>1272</v>
      </c>
      <c r="E611" s="4" t="s">
        <v>1273</v>
      </c>
      <c r="F611" s="4" t="str">
        <f>IF(separador &gt; 0, LEFT(E611,separador - 1), E611)</f>
        <v>Bakersfield</v>
      </c>
      <c r="G611" s="4" t="str">
        <f>IF(separador &gt; 0, RIGHT(E611,largo -separador - 1),"-")</f>
        <v>CA 93307</v>
      </c>
      <c r="H611" s="4" t="s">
        <v>3807</v>
      </c>
      <c r="I611" s="4" t="s">
        <v>2825</v>
      </c>
      <c r="J611" s="13">
        <v>40130.216215277775</v>
      </c>
      <c r="K611" s="4" t="s">
        <v>3671</v>
      </c>
      <c r="M611" s="4">
        <f>IFERROR(FIND(",",E611),0)</f>
        <v>12</v>
      </c>
      <c r="N611" s="4">
        <f>LEN(E611)</f>
        <v>21</v>
      </c>
    </row>
    <row r="612" spans="1:14" outlineLevel="2" x14ac:dyDescent="0.3">
      <c r="A612" t="s">
        <v>4983</v>
      </c>
      <c r="B612" t="s">
        <v>311</v>
      </c>
      <c r="C612" s="1">
        <v>35642</v>
      </c>
      <c r="D612" t="s">
        <v>1616</v>
      </c>
      <c r="E612" t="s">
        <v>1617</v>
      </c>
      <c r="F612" t="str">
        <f>IF(separador &gt; 0, LEFT(E612,separador - 1), E612)</f>
        <v>394 Hanover St.</v>
      </c>
      <c r="G612" t="str">
        <f>IF(separador &gt; 0, RIGHT(E612,largo -separador - 1),"-")</f>
        <v>-</v>
      </c>
      <c r="H612" t="s">
        <v>3979</v>
      </c>
      <c r="I612" t="s">
        <v>2993</v>
      </c>
      <c r="J612" s="2">
        <v>40484.403148148151</v>
      </c>
      <c r="K612" t="s">
        <v>3671</v>
      </c>
      <c r="M612">
        <f>IFERROR(FIND(",",E612),0)</f>
        <v>0</v>
      </c>
      <c r="N612">
        <f>LEN(E612)</f>
        <v>15</v>
      </c>
    </row>
    <row r="613" spans="1:14" outlineLevel="2" x14ac:dyDescent="0.3">
      <c r="A613" s="4" t="s">
        <v>5547</v>
      </c>
      <c r="B613" s="4" t="s">
        <v>875</v>
      </c>
      <c r="C613" s="12">
        <v>35635</v>
      </c>
      <c r="D613" s="4" t="s">
        <v>2551</v>
      </c>
      <c r="E613" s="4" t="s">
        <v>2552</v>
      </c>
      <c r="F613" s="4" t="str">
        <f>IF(separador &gt; 0, LEFT(E613,separador - 1), E613)</f>
        <v>New York</v>
      </c>
      <c r="G613" s="4" t="str">
        <f>IF(separador &gt; 0, RIGHT(E613,largo -separador - 1),"-")</f>
        <v>NY 10034</v>
      </c>
      <c r="H613" s="4" t="s">
        <v>4543</v>
      </c>
      <c r="I613" s="4" t="s">
        <v>3545</v>
      </c>
      <c r="J613" s="13">
        <v>44215.409907407404</v>
      </c>
      <c r="K613" s="4" t="s">
        <v>3671</v>
      </c>
      <c r="M613" s="4">
        <f>IFERROR(FIND(",",E613),0)</f>
        <v>9</v>
      </c>
      <c r="N613" s="4">
        <f>LEN(E613)</f>
        <v>18</v>
      </c>
    </row>
    <row r="614" spans="1:14" outlineLevel="2" x14ac:dyDescent="0.3">
      <c r="A614" t="s">
        <v>5553</v>
      </c>
      <c r="B614" t="s">
        <v>881</v>
      </c>
      <c r="C614" s="1">
        <v>35588</v>
      </c>
      <c r="D614" t="s">
        <v>2563</v>
      </c>
      <c r="E614" t="s">
        <v>2564</v>
      </c>
      <c r="F614" t="str">
        <f>IF(separador &gt; 0, LEFT(E614,separador - 1), E614)</f>
        <v>Bronx</v>
      </c>
      <c r="G614" t="str">
        <f>IF(separador &gt; 0, RIGHT(E614,largo -separador - 1),"-")</f>
        <v>NY 10453</v>
      </c>
      <c r="H614" t="s">
        <v>4549</v>
      </c>
      <c r="I614" t="s">
        <v>3551</v>
      </c>
      <c r="J614" s="2">
        <v>40137.060636574075</v>
      </c>
      <c r="K614" t="s">
        <v>3671</v>
      </c>
      <c r="M614">
        <f>IFERROR(FIND(",",E614),0)</f>
        <v>6</v>
      </c>
      <c r="N614">
        <f>LEN(E614)</f>
        <v>15</v>
      </c>
    </row>
    <row r="615" spans="1:14" outlineLevel="2" x14ac:dyDescent="0.3">
      <c r="A615" s="4" t="s">
        <v>4761</v>
      </c>
      <c r="B615" s="4" t="s">
        <v>89</v>
      </c>
      <c r="C615" s="12">
        <v>35432</v>
      </c>
      <c r="D615" s="4" t="s">
        <v>1172</v>
      </c>
      <c r="E615" s="4" t="s">
        <v>1173</v>
      </c>
      <c r="F615" s="4" t="str">
        <f>IF(separador &gt; 0, LEFT(E615,separador - 1), E615)</f>
        <v>HS33 0PY</v>
      </c>
      <c r="G615" s="4" t="str">
        <f>IF(separador &gt; 0, RIGHT(E615,largo -separador - 1),"-")</f>
        <v>-</v>
      </c>
      <c r="H615" s="4" t="s">
        <v>3757</v>
      </c>
      <c r="I615" s="4" t="s">
        <v>2775</v>
      </c>
      <c r="J615" s="13">
        <v>42938.151666666665</v>
      </c>
      <c r="K615" s="4" t="s">
        <v>3671</v>
      </c>
      <c r="M615" s="4">
        <f>IFERROR(FIND(",",E615),0)</f>
        <v>0</v>
      </c>
      <c r="N615" s="4">
        <f>LEN(E615)</f>
        <v>8</v>
      </c>
    </row>
    <row r="616" spans="1:14" outlineLevel="2" x14ac:dyDescent="0.3">
      <c r="A616" t="s">
        <v>4869</v>
      </c>
      <c r="B616" t="s">
        <v>197</v>
      </c>
      <c r="C616" s="1">
        <v>35367</v>
      </c>
      <c r="D616" t="s">
        <v>1388</v>
      </c>
      <c r="E616" t="s">
        <v>1389</v>
      </c>
      <c r="F616" t="str">
        <f>IF(separador &gt; 0, LEFT(E616,separador - 1), E616)</f>
        <v>436 Ketch Harbour Street</v>
      </c>
      <c r="G616" t="str">
        <f>IF(separador &gt; 0, RIGHT(E616,largo -separador - 1),"-")</f>
        <v>-</v>
      </c>
      <c r="H616" t="s">
        <v>3865</v>
      </c>
      <c r="I616" t="s">
        <v>2881</v>
      </c>
      <c r="J616" s="2">
        <v>39204.742627314816</v>
      </c>
      <c r="K616" t="s">
        <v>3671</v>
      </c>
      <c r="M616">
        <f>IFERROR(FIND(",",E616),0)</f>
        <v>0</v>
      </c>
      <c r="N616">
        <f>LEN(E616)</f>
        <v>24</v>
      </c>
    </row>
    <row r="617" spans="1:14" outlineLevel="2" x14ac:dyDescent="0.3">
      <c r="A617" s="4" t="s">
        <v>4771</v>
      </c>
      <c r="B617" s="4" t="s">
        <v>99</v>
      </c>
      <c r="C617" s="12">
        <v>35166</v>
      </c>
      <c r="D617" s="4" t="s">
        <v>1192</v>
      </c>
      <c r="E617" s="4" t="s">
        <v>1193</v>
      </c>
      <c r="F617" s="4" t="str">
        <f>IF(separador &gt; 0, LEFT(E617,separador - 1), E617)</f>
        <v>HARROW</v>
      </c>
      <c r="G617" s="4" t="str">
        <f>IF(separador &gt; 0, RIGHT(E617,largo -separador - 1),"-")</f>
        <v>-</v>
      </c>
      <c r="H617" s="4" t="s">
        <v>3767</v>
      </c>
      <c r="I617" s="4" t="s">
        <v>2785</v>
      </c>
      <c r="J617" s="13">
        <v>38527.38480324074</v>
      </c>
      <c r="K617" s="4" t="s">
        <v>3671</v>
      </c>
      <c r="M617" s="4">
        <f>IFERROR(FIND(",",E617),0)</f>
        <v>0</v>
      </c>
      <c r="N617" s="4">
        <f>LEN(E617)</f>
        <v>6</v>
      </c>
    </row>
    <row r="618" spans="1:14" outlineLevel="2" x14ac:dyDescent="0.3">
      <c r="A618" t="s">
        <v>5059</v>
      </c>
      <c r="B618" t="s">
        <v>387</v>
      </c>
      <c r="C618" s="1">
        <v>35042</v>
      </c>
      <c r="D618" t="s">
        <v>1768</v>
      </c>
      <c r="E618" t="s">
        <v>1769</v>
      </c>
      <c r="F618" t="str">
        <f>IF(separador &gt; 0, LEFT(E618,separador - 1), E618)</f>
        <v>7 Bridle Street</v>
      </c>
      <c r="G618" t="str">
        <f>IF(separador &gt; 0, RIGHT(E618,largo -separador - 1),"-")</f>
        <v>-</v>
      </c>
      <c r="H618" t="s">
        <v>4055</v>
      </c>
      <c r="I618" t="s">
        <v>3069</v>
      </c>
      <c r="J618" s="2">
        <v>41915.601111111115</v>
      </c>
      <c r="K618" t="s">
        <v>3671</v>
      </c>
      <c r="M618">
        <f>IFERROR(FIND(",",E618),0)</f>
        <v>0</v>
      </c>
      <c r="N618">
        <f>LEN(E618)</f>
        <v>15</v>
      </c>
    </row>
    <row r="619" spans="1:14" outlineLevel="2" x14ac:dyDescent="0.3">
      <c r="A619" s="4" t="s">
        <v>4836</v>
      </c>
      <c r="B619" s="4" t="s">
        <v>164</v>
      </c>
      <c r="C619" s="12">
        <v>35038</v>
      </c>
      <c r="D619" s="4" t="s">
        <v>1322</v>
      </c>
      <c r="E619" s="4" t="s">
        <v>1323</v>
      </c>
      <c r="F619" s="4" t="str">
        <f>IF(separador &gt; 0, LEFT(E619,separador - 1), E619)</f>
        <v>Indio</v>
      </c>
      <c r="G619" s="4" t="str">
        <f>IF(separador &gt; 0, RIGHT(E619,largo -separador - 1),"-")</f>
        <v>CA 92201</v>
      </c>
      <c r="H619" s="4" t="s">
        <v>3832</v>
      </c>
      <c r="I619" s="4" t="s">
        <v>2850</v>
      </c>
      <c r="J619" s="13">
        <v>42835.193252314813</v>
      </c>
      <c r="K619" s="4" t="s">
        <v>3671</v>
      </c>
      <c r="M619" s="4">
        <f>IFERROR(FIND(",",E619),0)</f>
        <v>6</v>
      </c>
      <c r="N619" s="4">
        <f>LEN(E619)</f>
        <v>15</v>
      </c>
    </row>
    <row r="620" spans="1:14" outlineLevel="2" x14ac:dyDescent="0.3">
      <c r="A620" t="s">
        <v>5419</v>
      </c>
      <c r="B620" t="s">
        <v>747</v>
      </c>
      <c r="C620" s="1">
        <v>34973</v>
      </c>
      <c r="D620" t="s">
        <v>2310</v>
      </c>
      <c r="E620" t="s">
        <v>1960</v>
      </c>
      <c r="F620" t="str">
        <f>IF(separador &gt; 0, LEFT(E620,separador - 1), E620)</f>
        <v>London</v>
      </c>
      <c r="G620" t="str">
        <f>IF(separador &gt; 0, RIGHT(E620,largo -separador - 1),"-")</f>
        <v>-</v>
      </c>
      <c r="H620" t="s">
        <v>4415</v>
      </c>
      <c r="I620" t="s">
        <v>3421</v>
      </c>
      <c r="J620" s="2">
        <v>42025.668645833335</v>
      </c>
      <c r="K620" t="s">
        <v>3671</v>
      </c>
      <c r="M620">
        <f>IFERROR(FIND(",",E620),0)</f>
        <v>0</v>
      </c>
      <c r="N620">
        <f>LEN(E620)</f>
        <v>6</v>
      </c>
    </row>
    <row r="621" spans="1:14" outlineLevel="2" x14ac:dyDescent="0.3">
      <c r="A621" s="4" t="s">
        <v>5088</v>
      </c>
      <c r="B621" s="4" t="s">
        <v>416</v>
      </c>
      <c r="C621" s="12">
        <v>34908</v>
      </c>
      <c r="D621" s="4" t="s">
        <v>1825</v>
      </c>
      <c r="E621" s="4" t="s">
        <v>1826</v>
      </c>
      <c r="F621" s="4" t="str">
        <f>IF(separador &gt; 0, LEFT(E621,separador - 1), E621)</f>
        <v>8335 Hillcrest Drive</v>
      </c>
      <c r="G621" s="4" t="str">
        <f>IF(separador &gt; 0, RIGHT(E621,largo -separador - 1),"-")</f>
        <v>-</v>
      </c>
      <c r="H621" s="4" t="s">
        <v>4084</v>
      </c>
      <c r="I621" s="4" t="s">
        <v>3098</v>
      </c>
      <c r="J621" s="13">
        <v>43106.416990740741</v>
      </c>
      <c r="K621" s="4" t="s">
        <v>3671</v>
      </c>
      <c r="M621" s="4">
        <f>IFERROR(FIND(",",E621),0)</f>
        <v>0</v>
      </c>
      <c r="N621" s="4">
        <f>LEN(E621)</f>
        <v>20</v>
      </c>
    </row>
    <row r="622" spans="1:14" outlineLevel="2" x14ac:dyDescent="0.3">
      <c r="A622" t="s">
        <v>4982</v>
      </c>
      <c r="B622" t="s">
        <v>310</v>
      </c>
      <c r="C622" s="1">
        <v>34770</v>
      </c>
      <c r="D622" t="s">
        <v>1614</v>
      </c>
      <c r="E622" t="s">
        <v>1615</v>
      </c>
      <c r="F622" t="str">
        <f>IF(separador &gt; 0, LEFT(E622,separador - 1), E622)</f>
        <v>7976 North Street</v>
      </c>
      <c r="G622" t="str">
        <f>IF(separador &gt; 0, RIGHT(E622,largo -separador - 1),"-")</f>
        <v>-</v>
      </c>
      <c r="H622" t="s">
        <v>3978</v>
      </c>
      <c r="I622" t="s">
        <v>2992</v>
      </c>
      <c r="J622" s="2">
        <v>43019.384097222224</v>
      </c>
      <c r="K622" t="s">
        <v>3671</v>
      </c>
      <c r="M622">
        <f>IFERROR(FIND(",",E622),0)</f>
        <v>0</v>
      </c>
      <c r="N622">
        <f>LEN(E622)</f>
        <v>17</v>
      </c>
    </row>
    <row r="623" spans="1:14" outlineLevel="2" x14ac:dyDescent="0.3">
      <c r="A623" s="4" t="s">
        <v>5293</v>
      </c>
      <c r="B623" s="4" t="s">
        <v>621</v>
      </c>
      <c r="C623" s="12">
        <v>34636</v>
      </c>
      <c r="D623" s="4" t="s">
        <v>2143</v>
      </c>
      <c r="E623" s="4" t="s">
        <v>1960</v>
      </c>
      <c r="F623" s="4" t="str">
        <f>IF(separador &gt; 0, LEFT(E623,separador - 1), E623)</f>
        <v>London</v>
      </c>
      <c r="G623" s="4" t="str">
        <f>IF(separador &gt; 0, RIGHT(E623,largo -separador - 1),"-")</f>
        <v>-</v>
      </c>
      <c r="H623" s="4" t="s">
        <v>4289</v>
      </c>
      <c r="I623" s="4" t="s">
        <v>3172</v>
      </c>
      <c r="J623" s="13">
        <v>42281.165081018517</v>
      </c>
      <c r="K623" s="4" t="s">
        <v>3671</v>
      </c>
      <c r="M623" s="4">
        <f>IFERROR(FIND(",",E623),0)</f>
        <v>0</v>
      </c>
      <c r="N623" s="4">
        <f>LEN(E623)</f>
        <v>6</v>
      </c>
    </row>
    <row r="624" spans="1:14" outlineLevel="2" x14ac:dyDescent="0.3">
      <c r="A624" t="s">
        <v>5012</v>
      </c>
      <c r="B624" t="s">
        <v>340</v>
      </c>
      <c r="C624" s="1">
        <v>34604</v>
      </c>
      <c r="D624" t="s">
        <v>1674</v>
      </c>
      <c r="E624" t="s">
        <v>1675</v>
      </c>
      <c r="F624" t="str">
        <f>IF(separador &gt; 0, LEFT(E624,separador - 1), E624)</f>
        <v>8407 Snake Hill Street</v>
      </c>
      <c r="G624" t="str">
        <f>IF(separador &gt; 0, RIGHT(E624,largo -separador - 1),"-")</f>
        <v>-</v>
      </c>
      <c r="H624" t="s">
        <v>4008</v>
      </c>
      <c r="I624" t="s">
        <v>3022</v>
      </c>
      <c r="J624" s="2">
        <v>43614.98164351852</v>
      </c>
      <c r="K624" t="s">
        <v>3671</v>
      </c>
      <c r="M624">
        <f>IFERROR(FIND(",",E624),0)</f>
        <v>0</v>
      </c>
      <c r="N624">
        <f>LEN(E624)</f>
        <v>22</v>
      </c>
    </row>
    <row r="625" spans="1:14" outlineLevel="2" x14ac:dyDescent="0.3">
      <c r="A625" s="4" t="s">
        <v>5225</v>
      </c>
      <c r="B625" s="4" t="s">
        <v>553</v>
      </c>
      <c r="C625" s="12">
        <v>34590</v>
      </c>
      <c r="D625" s="4" t="s">
        <v>2052</v>
      </c>
      <c r="E625" s="4" t="s">
        <v>2053</v>
      </c>
      <c r="F625" s="4" t="str">
        <f>IF(separador &gt; 0, LEFT(E625,separador - 1), E625)</f>
        <v>352 Highfield Road</v>
      </c>
      <c r="G625" s="4" t="str">
        <f>IF(separador &gt; 0, RIGHT(E625,largo -separador - 1),"-")</f>
        <v>-</v>
      </c>
      <c r="H625" s="4" t="s">
        <v>4221</v>
      </c>
      <c r="I625" s="4" t="s">
        <v>3233</v>
      </c>
      <c r="J625" s="13">
        <v>41170.480486111112</v>
      </c>
      <c r="K625" s="4" t="s">
        <v>3671</v>
      </c>
      <c r="M625" s="4">
        <f>IFERROR(FIND(",",E625),0)</f>
        <v>0</v>
      </c>
      <c r="N625" s="4">
        <f>LEN(E625)</f>
        <v>18</v>
      </c>
    </row>
    <row r="626" spans="1:14" outlineLevel="2" x14ac:dyDescent="0.3">
      <c r="A626" t="s">
        <v>4691</v>
      </c>
      <c r="B626" t="s">
        <v>19</v>
      </c>
      <c r="C626" s="1">
        <v>34406</v>
      </c>
      <c r="D626" t="s">
        <v>1032</v>
      </c>
      <c r="E626" t="s">
        <v>1033</v>
      </c>
      <c r="F626" t="str">
        <f>IF(separador &gt; 0, LEFT(E626,separador - 1), E626)</f>
        <v>Reynoldsburg</v>
      </c>
      <c r="G626" t="str">
        <f>IF(separador &gt; 0, RIGHT(E626,largo -separador - 1),"-")</f>
        <v>OH 43068</v>
      </c>
      <c r="H626" t="s">
        <v>3687</v>
      </c>
      <c r="I626" t="s">
        <v>2705</v>
      </c>
      <c r="J626" s="2">
        <v>39178.261030092595</v>
      </c>
      <c r="K626" t="s">
        <v>3671</v>
      </c>
      <c r="M626">
        <f>IFERROR(FIND(",",E626),0)</f>
        <v>13</v>
      </c>
      <c r="N626">
        <f>LEN(E626)</f>
        <v>22</v>
      </c>
    </row>
    <row r="627" spans="1:14" outlineLevel="2" x14ac:dyDescent="0.3">
      <c r="A627" s="4" t="s">
        <v>5041</v>
      </c>
      <c r="B627" s="4" t="s">
        <v>369</v>
      </c>
      <c r="C627" s="12">
        <v>34359</v>
      </c>
      <c r="D627" s="4" t="s">
        <v>1732</v>
      </c>
      <c r="E627" s="4" t="s">
        <v>1733</v>
      </c>
      <c r="F627" s="4" t="str">
        <f>IF(separador &gt; 0, LEFT(E627,separador - 1), E627)</f>
        <v>77 Rocky River Ave.</v>
      </c>
      <c r="G627" s="4" t="str">
        <f>IF(separador &gt; 0, RIGHT(E627,largo -separador - 1),"-")</f>
        <v>-</v>
      </c>
      <c r="H627" s="4" t="s">
        <v>4037</v>
      </c>
      <c r="I627" s="4" t="s">
        <v>3051</v>
      </c>
      <c r="J627" s="13">
        <v>40275.789259259262</v>
      </c>
      <c r="K627" s="4" t="s">
        <v>3671</v>
      </c>
      <c r="M627" s="4">
        <f>IFERROR(FIND(",",E627),0)</f>
        <v>0</v>
      </c>
      <c r="N627" s="4">
        <f>LEN(E627)</f>
        <v>19</v>
      </c>
    </row>
    <row r="628" spans="1:14" outlineLevel="2" x14ac:dyDescent="0.3">
      <c r="A628" t="s">
        <v>4696</v>
      </c>
      <c r="B628" t="s">
        <v>24</v>
      </c>
      <c r="C628" s="1">
        <v>34355</v>
      </c>
      <c r="D628" t="s">
        <v>1042</v>
      </c>
      <c r="E628" t="s">
        <v>1043</v>
      </c>
      <c r="F628" t="str">
        <f>IF(separador &gt; 0, LEFT(E628,separador - 1), E628)</f>
        <v>Seymour</v>
      </c>
      <c r="G628" t="str">
        <f>IF(separador &gt; 0, RIGHT(E628,largo -separador - 1),"-")</f>
        <v>IN 47274</v>
      </c>
      <c r="H628" t="s">
        <v>3692</v>
      </c>
      <c r="I628" t="s">
        <v>2710</v>
      </c>
      <c r="J628" s="2">
        <v>42506.381319444445</v>
      </c>
      <c r="K628" t="s">
        <v>3671</v>
      </c>
      <c r="M628">
        <f>IFERROR(FIND(",",E628),0)</f>
        <v>8</v>
      </c>
      <c r="N628">
        <f>LEN(E628)</f>
        <v>17</v>
      </c>
    </row>
    <row r="629" spans="1:14" outlineLevel="2" x14ac:dyDescent="0.3">
      <c r="A629" s="4" t="s">
        <v>5373</v>
      </c>
      <c r="B629" s="4" t="s">
        <v>701</v>
      </c>
      <c r="C629" s="12">
        <v>34350</v>
      </c>
      <c r="D629" s="4" t="s">
        <v>1960</v>
      </c>
      <c r="E629" s="4" t="s">
        <v>2249</v>
      </c>
      <c r="F629" s="4" t="str">
        <f>IF(separador &gt; 0, LEFT(E629,separador - 1), E629)</f>
        <v>NW50 1WE</v>
      </c>
      <c r="G629" s="4" t="str">
        <f>IF(separador &gt; 0, RIGHT(E629,largo -separador - 1),"-")</f>
        <v>-</v>
      </c>
      <c r="H629" s="4" t="s">
        <v>4369</v>
      </c>
      <c r="I629" s="4" t="s">
        <v>3377</v>
      </c>
      <c r="J629" s="13">
        <v>41373.123194444444</v>
      </c>
      <c r="K629" s="4" t="s">
        <v>3671</v>
      </c>
      <c r="M629" s="4">
        <f>IFERROR(FIND(",",E629),0)</f>
        <v>0</v>
      </c>
      <c r="N629" s="4">
        <f>LEN(E629)</f>
        <v>8</v>
      </c>
    </row>
    <row r="630" spans="1:14" outlineLevel="2" x14ac:dyDescent="0.3">
      <c r="A630" t="s">
        <v>4861</v>
      </c>
      <c r="B630" t="s">
        <v>189</v>
      </c>
      <c r="C630" s="1">
        <v>34328</v>
      </c>
      <c r="D630" t="s">
        <v>1372</v>
      </c>
      <c r="E630" t="s">
        <v>1373</v>
      </c>
      <c r="F630" t="str">
        <f>IF(separador &gt; 0, LEFT(E630,separador - 1), E630)</f>
        <v>7792 Anderson Lane</v>
      </c>
      <c r="G630" t="str">
        <f>IF(separador &gt; 0, RIGHT(E630,largo -separador - 1),"-")</f>
        <v>-</v>
      </c>
      <c r="H630" t="s">
        <v>3857</v>
      </c>
      <c r="I630" t="s">
        <v>2873</v>
      </c>
      <c r="J630" s="2">
        <v>39312.835243055553</v>
      </c>
      <c r="K630" t="s">
        <v>3671</v>
      </c>
      <c r="M630">
        <f>IFERROR(FIND(",",E630),0)</f>
        <v>0</v>
      </c>
      <c r="N630">
        <f>LEN(E630)</f>
        <v>18</v>
      </c>
    </row>
    <row r="631" spans="1:14" outlineLevel="2" x14ac:dyDescent="0.3">
      <c r="A631" s="4" t="s">
        <v>5430</v>
      </c>
      <c r="B631" s="4" t="s">
        <v>758</v>
      </c>
      <c r="C631" s="12">
        <v>34241</v>
      </c>
      <c r="D631" s="4" t="s">
        <v>1960</v>
      </c>
      <c r="E631" s="4" t="s">
        <v>2325</v>
      </c>
      <c r="F631" s="4" t="str">
        <f>IF(separador &gt; 0, LEFT(E631,separador - 1), E631)</f>
        <v>SW24 1UB</v>
      </c>
      <c r="G631" s="4" t="str">
        <f>IF(separador &gt; 0, RIGHT(E631,largo -separador - 1),"-")</f>
        <v>-</v>
      </c>
      <c r="H631" s="4" t="s">
        <v>4426</v>
      </c>
      <c r="I631" s="4" t="s">
        <v>3431</v>
      </c>
      <c r="J631" s="13">
        <v>39878.067916666667</v>
      </c>
      <c r="K631" s="4" t="s">
        <v>3671</v>
      </c>
      <c r="M631" s="4">
        <f>IFERROR(FIND(",",E631),0)</f>
        <v>0</v>
      </c>
      <c r="N631" s="4">
        <f>LEN(E631)</f>
        <v>8</v>
      </c>
    </row>
    <row r="632" spans="1:14" outlineLevel="2" x14ac:dyDescent="0.3">
      <c r="A632" t="s">
        <v>5566</v>
      </c>
      <c r="B632" t="s">
        <v>894</v>
      </c>
      <c r="C632" s="1">
        <v>34240</v>
      </c>
      <c r="D632" t="s">
        <v>2581</v>
      </c>
      <c r="E632" t="s">
        <v>2431</v>
      </c>
      <c r="F632" t="str">
        <f>IF(separador &gt; 0, LEFT(E632,separador - 1), E632)</f>
        <v>Bronx</v>
      </c>
      <c r="G632" t="str">
        <f>IF(separador &gt; 0, RIGHT(E632,largo -separador - 1),"-")</f>
        <v>NY 10451</v>
      </c>
      <c r="H632" t="s">
        <v>4562</v>
      </c>
      <c r="I632" t="s">
        <v>3564</v>
      </c>
      <c r="J632" s="2">
        <v>43850.108738425923</v>
      </c>
      <c r="K632" t="s">
        <v>3671</v>
      </c>
      <c r="M632">
        <f>IFERROR(FIND(",",E632),0)</f>
        <v>6</v>
      </c>
      <c r="N632">
        <f>LEN(E632)</f>
        <v>15</v>
      </c>
    </row>
    <row r="633" spans="1:14" outlineLevel="2" x14ac:dyDescent="0.3">
      <c r="A633" s="4" t="s">
        <v>5036</v>
      </c>
      <c r="B633" s="4" t="s">
        <v>364</v>
      </c>
      <c r="C633" s="12">
        <v>34225</v>
      </c>
      <c r="D633" s="4" t="s">
        <v>1722</v>
      </c>
      <c r="E633" s="4" t="s">
        <v>1723</v>
      </c>
      <c r="F633" s="4" t="str">
        <f>IF(separador &gt; 0, LEFT(E633,separador - 1), E633)</f>
        <v>19 Carriage Court</v>
      </c>
      <c r="G633" s="4" t="str">
        <f>IF(separador &gt; 0, RIGHT(E633,largo -separador - 1),"-")</f>
        <v>-</v>
      </c>
      <c r="H633" s="4" t="s">
        <v>4032</v>
      </c>
      <c r="I633" s="4" t="s">
        <v>3046</v>
      </c>
      <c r="J633" s="13">
        <v>40604.475810185184</v>
      </c>
      <c r="K633" s="4" t="s">
        <v>3671</v>
      </c>
      <c r="M633" s="4">
        <f>IFERROR(FIND(",",E633),0)</f>
        <v>0</v>
      </c>
      <c r="N633" s="4">
        <f>LEN(E633)</f>
        <v>17</v>
      </c>
    </row>
    <row r="634" spans="1:14" outlineLevel="2" x14ac:dyDescent="0.3">
      <c r="A634" t="s">
        <v>5067</v>
      </c>
      <c r="B634" t="s">
        <v>395</v>
      </c>
      <c r="C634" s="1">
        <v>34219</v>
      </c>
      <c r="D634" t="s">
        <v>1784</v>
      </c>
      <c r="E634" t="s">
        <v>1785</v>
      </c>
      <c r="F634" t="str">
        <f>IF(separador &gt; 0, LEFT(E634,separador - 1), E634)</f>
        <v>4 Belmont Drive</v>
      </c>
      <c r="G634" t="str">
        <f>IF(separador &gt; 0, RIGHT(E634,largo -separador - 1),"-")</f>
        <v>-</v>
      </c>
      <c r="H634" t="s">
        <v>4063</v>
      </c>
      <c r="I634" t="s">
        <v>3077</v>
      </c>
      <c r="J634" s="2">
        <v>39246.32172453704</v>
      </c>
      <c r="K634" t="s">
        <v>3671</v>
      </c>
      <c r="M634">
        <f>IFERROR(FIND(",",E634),0)</f>
        <v>0</v>
      </c>
      <c r="N634">
        <f>LEN(E634)</f>
        <v>15</v>
      </c>
    </row>
    <row r="635" spans="1:14" outlineLevel="2" x14ac:dyDescent="0.3">
      <c r="A635" s="4" t="s">
        <v>5307</v>
      </c>
      <c r="B635" s="4" t="s">
        <v>635</v>
      </c>
      <c r="C635" s="12">
        <v>34211</v>
      </c>
      <c r="D635" s="4" t="s">
        <v>1960</v>
      </c>
      <c r="E635" s="4" t="s">
        <v>2162</v>
      </c>
      <c r="F635" s="4" t="str">
        <f>IF(separador &gt; 0, LEFT(E635,separador - 1), E635)</f>
        <v>N23 0XZ</v>
      </c>
      <c r="G635" s="4" t="str">
        <f>IF(separador &gt; 0, RIGHT(E635,largo -separador - 1),"-")</f>
        <v>-</v>
      </c>
      <c r="H635" s="4" t="s">
        <v>4303</v>
      </c>
      <c r="I635" s="4" t="s">
        <v>3312</v>
      </c>
      <c r="J635" s="13">
        <v>39611.921064814815</v>
      </c>
      <c r="K635" s="4" t="s">
        <v>3671</v>
      </c>
      <c r="M635" s="4">
        <f>IFERROR(FIND(",",E635),0)</f>
        <v>0</v>
      </c>
      <c r="N635" s="4">
        <f>LEN(E635)</f>
        <v>7</v>
      </c>
    </row>
    <row r="636" spans="1:14" outlineLevel="2" x14ac:dyDescent="0.3">
      <c r="A636" t="s">
        <v>4798</v>
      </c>
      <c r="B636" t="s">
        <v>126</v>
      </c>
      <c r="C636" s="1">
        <v>34191</v>
      </c>
      <c r="D636" t="s">
        <v>1246</v>
      </c>
      <c r="E636" t="s">
        <v>1247</v>
      </c>
      <c r="F636" t="str">
        <f>IF(separador &gt; 0, LEFT(E636,separador - 1), E636)</f>
        <v>South San Francisco</v>
      </c>
      <c r="G636" t="str">
        <f>IF(separador &gt; 0, RIGHT(E636,largo -separador - 1),"-")</f>
        <v>CA 94080</v>
      </c>
      <c r="H636" t="s">
        <v>3794</v>
      </c>
      <c r="I636" t="s">
        <v>2812</v>
      </c>
      <c r="J636" s="2">
        <v>40916.961412037039</v>
      </c>
      <c r="K636" t="s">
        <v>3671</v>
      </c>
      <c r="M636">
        <f>IFERROR(FIND(",",E636),0)</f>
        <v>20</v>
      </c>
      <c r="N636">
        <f>LEN(E636)</f>
        <v>29</v>
      </c>
    </row>
    <row r="637" spans="1:14" outlineLevel="2" x14ac:dyDescent="0.3">
      <c r="A637" s="4" t="s">
        <v>5395</v>
      </c>
      <c r="B637" s="4" t="s">
        <v>723</v>
      </c>
      <c r="C637" s="12">
        <v>34172</v>
      </c>
      <c r="D637" s="4" t="s">
        <v>2278</v>
      </c>
      <c r="E637" s="4" t="s">
        <v>1960</v>
      </c>
      <c r="F637" s="4" t="str">
        <f>IF(separador &gt; 0, LEFT(E637,separador - 1), E637)</f>
        <v>London</v>
      </c>
      <c r="G637" s="4" t="str">
        <f>IF(separador &gt; 0, RIGHT(E637,largo -separador - 1),"-")</f>
        <v>-</v>
      </c>
      <c r="H637" s="4" t="s">
        <v>4391</v>
      </c>
      <c r="I637" s="4" t="s">
        <v>3398</v>
      </c>
      <c r="J637" s="13">
        <v>41178.282361111109</v>
      </c>
      <c r="K637" s="4" t="s">
        <v>3671</v>
      </c>
      <c r="M637" s="4">
        <f>IFERROR(FIND(",",E637),0)</f>
        <v>0</v>
      </c>
      <c r="N637" s="4">
        <f>LEN(E637)</f>
        <v>6</v>
      </c>
    </row>
    <row r="638" spans="1:14" outlineLevel="2" x14ac:dyDescent="0.3">
      <c r="A638" t="s">
        <v>4768</v>
      </c>
      <c r="B638" t="s">
        <v>96</v>
      </c>
      <c r="C638" s="1">
        <v>34167</v>
      </c>
      <c r="D638" t="s">
        <v>1186</v>
      </c>
      <c r="E638" t="s">
        <v>1187</v>
      </c>
      <c r="F638" t="str">
        <f>IF(separador &gt; 0, LEFT(E638,separador - 1), E638)</f>
        <v>READING</v>
      </c>
      <c r="G638" t="str">
        <f>IF(separador &gt; 0, RIGHT(E638,largo -separador - 1),"-")</f>
        <v>-</v>
      </c>
      <c r="H638" t="s">
        <v>3764</v>
      </c>
      <c r="I638" t="s">
        <v>2782</v>
      </c>
      <c r="J638" s="2">
        <v>38417.753819444442</v>
      </c>
      <c r="K638" t="s">
        <v>3671</v>
      </c>
      <c r="M638">
        <f>IFERROR(FIND(",",E638),0)</f>
        <v>0</v>
      </c>
      <c r="N638">
        <f>LEN(E638)</f>
        <v>7</v>
      </c>
    </row>
    <row r="639" spans="1:14" outlineLevel="2" x14ac:dyDescent="0.3">
      <c r="A639" s="4" t="s">
        <v>5560</v>
      </c>
      <c r="B639" s="4" t="s">
        <v>888</v>
      </c>
      <c r="C639" s="12">
        <v>34131</v>
      </c>
      <c r="D639" s="4" t="s">
        <v>2575</v>
      </c>
      <c r="E639" s="4" t="s">
        <v>2449</v>
      </c>
      <c r="F639" s="4" t="str">
        <f>IF(separador &gt; 0, LEFT(E639,separador - 1), E639)</f>
        <v>Buffalo</v>
      </c>
      <c r="G639" s="4" t="str">
        <f>IF(separador &gt; 0, RIGHT(E639,largo -separador - 1),"-")</f>
        <v>NY 14224</v>
      </c>
      <c r="H639" s="4" t="s">
        <v>4556</v>
      </c>
      <c r="I639" s="4" t="s">
        <v>3558</v>
      </c>
      <c r="J639" s="13">
        <v>42632.141770833332</v>
      </c>
      <c r="K639" s="4" t="s">
        <v>3671</v>
      </c>
      <c r="M639" s="4">
        <f>IFERROR(FIND(",",E639),0)</f>
        <v>8</v>
      </c>
      <c r="N639" s="4">
        <f>LEN(E639)</f>
        <v>17</v>
      </c>
    </row>
    <row r="640" spans="1:14" outlineLevel="2" x14ac:dyDescent="0.3">
      <c r="A640" t="s">
        <v>4743</v>
      </c>
      <c r="B640" t="s">
        <v>71</v>
      </c>
      <c r="C640" s="1">
        <v>33957</v>
      </c>
      <c r="D640" t="s">
        <v>1136</v>
      </c>
      <c r="E640" t="s">
        <v>1137</v>
      </c>
      <c r="F640" t="str">
        <f>IF(separador &gt; 0, LEFT(E640,separador - 1), E640)</f>
        <v>B2 0LA</v>
      </c>
      <c r="G640" t="str">
        <f>IF(separador &gt; 0, RIGHT(E640,largo -separador - 1),"-")</f>
        <v>-</v>
      </c>
      <c r="H640" t="s">
        <v>3739</v>
      </c>
      <c r="I640" t="s">
        <v>2757</v>
      </c>
      <c r="J640" s="2">
        <v>42931.600185185183</v>
      </c>
      <c r="K640" t="s">
        <v>3671</v>
      </c>
      <c r="M640">
        <f>IFERROR(FIND(",",E640),0)</f>
        <v>0</v>
      </c>
      <c r="N640">
        <f>LEN(E640)</f>
        <v>6</v>
      </c>
    </row>
    <row r="641" spans="1:14" outlineLevel="2" x14ac:dyDescent="0.3">
      <c r="A641" s="4" t="s">
        <v>5504</v>
      </c>
      <c r="B641" s="4" t="s">
        <v>832</v>
      </c>
      <c r="C641" s="12">
        <v>33904</v>
      </c>
      <c r="D641" s="4" t="s">
        <v>2465</v>
      </c>
      <c r="E641" s="4" t="s">
        <v>2466</v>
      </c>
      <c r="F641" s="4" t="str">
        <f>IF(separador &gt; 0, LEFT(E641,separador - 1), E641)</f>
        <v>Brooklyn</v>
      </c>
      <c r="G641" s="4" t="str">
        <f>IF(separador &gt; 0, RIGHT(E641,largo -separador - 1),"-")</f>
        <v>NY 11211</v>
      </c>
      <c r="H641" s="4" t="s">
        <v>4500</v>
      </c>
      <c r="I641" s="4" t="s">
        <v>3503</v>
      </c>
      <c r="J641" s="13">
        <v>38820.256956018522</v>
      </c>
      <c r="K641" s="4" t="s">
        <v>3671</v>
      </c>
      <c r="M641" s="4">
        <f>IFERROR(FIND(",",E641),0)</f>
        <v>9</v>
      </c>
      <c r="N641" s="4">
        <f>LEN(E641)</f>
        <v>18</v>
      </c>
    </row>
    <row r="642" spans="1:14" outlineLevel="2" x14ac:dyDescent="0.3">
      <c r="A642" t="s">
        <v>5576</v>
      </c>
      <c r="B642" t="s">
        <v>904</v>
      </c>
      <c r="C642" s="1">
        <v>33872</v>
      </c>
      <c r="D642" t="s">
        <v>2591</v>
      </c>
      <c r="E642" t="s">
        <v>2360</v>
      </c>
      <c r="F642" t="str">
        <f>IF(separador &gt; 0, LEFT(E642,separador - 1), E642)</f>
        <v>Bronx</v>
      </c>
      <c r="G642" t="str">
        <f>IF(separador &gt; 0, RIGHT(E642,largo -separador - 1),"-")</f>
        <v>NY 10461</v>
      </c>
      <c r="H642" t="s">
        <v>4572</v>
      </c>
      <c r="I642" t="s">
        <v>3574</v>
      </c>
      <c r="J642" s="2">
        <v>40563.592962962961</v>
      </c>
      <c r="K642" t="s">
        <v>3671</v>
      </c>
      <c r="M642">
        <f>IFERROR(FIND(",",E642),0)</f>
        <v>6</v>
      </c>
      <c r="N642">
        <f>LEN(E642)</f>
        <v>15</v>
      </c>
    </row>
    <row r="643" spans="1:14" outlineLevel="2" x14ac:dyDescent="0.3">
      <c r="A643" s="4" t="s">
        <v>4925</v>
      </c>
      <c r="B643" s="4" t="s">
        <v>253</v>
      </c>
      <c r="C643" s="12">
        <v>33868</v>
      </c>
      <c r="D643" s="4" t="s">
        <v>1500</v>
      </c>
      <c r="E643" s="4" t="s">
        <v>1501</v>
      </c>
      <c r="F643" s="4" t="str">
        <f>IF(separador &gt; 0, LEFT(E643,separador - 1), E643)</f>
        <v>24 Edgemont St.</v>
      </c>
      <c r="G643" s="4" t="str">
        <f>IF(separador &gt; 0, RIGHT(E643,largo -separador - 1),"-")</f>
        <v>-</v>
      </c>
      <c r="H643" s="4" t="s">
        <v>3921</v>
      </c>
      <c r="I643" s="4" t="s">
        <v>2936</v>
      </c>
      <c r="J643" s="13">
        <v>41460.620393518519</v>
      </c>
      <c r="K643" s="4" t="s">
        <v>3671</v>
      </c>
      <c r="M643" s="4">
        <f>IFERROR(FIND(",",E643),0)</f>
        <v>0</v>
      </c>
      <c r="N643" s="4">
        <f>LEN(E643)</f>
        <v>15</v>
      </c>
    </row>
    <row r="644" spans="1:14" outlineLevel="2" x14ac:dyDescent="0.3">
      <c r="A644" t="s">
        <v>5084</v>
      </c>
      <c r="B644" t="s">
        <v>412</v>
      </c>
      <c r="C644" s="1">
        <v>33779</v>
      </c>
      <c r="D644" t="s">
        <v>1077</v>
      </c>
      <c r="E644" t="s">
        <v>1818</v>
      </c>
      <c r="F644" t="str">
        <f>IF(separador &gt; 0, LEFT(E644,separador - 1), E644)</f>
        <v>8028 S. Purple Finch Drive</v>
      </c>
      <c r="G644" t="str">
        <f>IF(separador &gt; 0, RIGHT(E644,largo -separador - 1),"-")</f>
        <v>-</v>
      </c>
      <c r="H644" t="s">
        <v>4080</v>
      </c>
      <c r="I644" t="s">
        <v>3094</v>
      </c>
      <c r="J644" s="2">
        <v>43331.780081018522</v>
      </c>
      <c r="K644" t="s">
        <v>3671</v>
      </c>
      <c r="M644">
        <f>IFERROR(FIND(",",E644),0)</f>
        <v>0</v>
      </c>
      <c r="N644">
        <f>LEN(E644)</f>
        <v>26</v>
      </c>
    </row>
    <row r="645" spans="1:14" outlineLevel="2" x14ac:dyDescent="0.3">
      <c r="A645" s="4" t="s">
        <v>5236</v>
      </c>
      <c r="B645" s="4" t="s">
        <v>564</v>
      </c>
      <c r="C645" s="12">
        <v>33746</v>
      </c>
      <c r="D645" s="4" t="s">
        <v>2067</v>
      </c>
      <c r="E645" s="4" t="s">
        <v>1960</v>
      </c>
      <c r="F645" s="4" t="str">
        <f>IF(separador &gt; 0, LEFT(E645,separador - 1), E645)</f>
        <v>London</v>
      </c>
      <c r="G645" s="4" t="str">
        <f>IF(separador &gt; 0, RIGHT(E645,largo -separador - 1),"-")</f>
        <v>-</v>
      </c>
      <c r="H645" s="4" t="s">
        <v>4232</v>
      </c>
      <c r="I645" s="4" t="s">
        <v>3244</v>
      </c>
      <c r="J645" s="13">
        <v>39515.051412037035</v>
      </c>
      <c r="K645" s="4" t="s">
        <v>3671</v>
      </c>
      <c r="M645" s="4">
        <f>IFERROR(FIND(",",E645),0)</f>
        <v>0</v>
      </c>
      <c r="N645" s="4">
        <f>LEN(E645)</f>
        <v>6</v>
      </c>
    </row>
    <row r="646" spans="1:14" outlineLevel="2" x14ac:dyDescent="0.3">
      <c r="A646" t="s">
        <v>5058</v>
      </c>
      <c r="B646" t="s">
        <v>386</v>
      </c>
      <c r="C646" s="1">
        <v>33724</v>
      </c>
      <c r="D646" t="s">
        <v>1766</v>
      </c>
      <c r="E646" t="s">
        <v>1767</v>
      </c>
      <c r="F646" t="str">
        <f>IF(separador &gt; 0, LEFT(E646,separador - 1), E646)</f>
        <v>47 Leatherwood Ave.</v>
      </c>
      <c r="G646" t="str">
        <f>IF(separador &gt; 0, RIGHT(E646,largo -separador - 1),"-")</f>
        <v>-</v>
      </c>
      <c r="H646" t="s">
        <v>4054</v>
      </c>
      <c r="I646" t="s">
        <v>3068</v>
      </c>
      <c r="J646" s="2">
        <v>40466.861678240741</v>
      </c>
      <c r="K646" t="s">
        <v>3671</v>
      </c>
      <c r="M646">
        <f>IFERROR(FIND(",",E646),0)</f>
        <v>0</v>
      </c>
      <c r="N646">
        <f>LEN(E646)</f>
        <v>19</v>
      </c>
    </row>
    <row r="647" spans="1:14" outlineLevel="2" x14ac:dyDescent="0.3">
      <c r="A647" s="4" t="s">
        <v>5522</v>
      </c>
      <c r="B647" s="4" t="s">
        <v>850</v>
      </c>
      <c r="C647" s="12">
        <v>33633</v>
      </c>
      <c r="D647" s="4" t="s">
        <v>2501</v>
      </c>
      <c r="E647" s="4" t="s">
        <v>2502</v>
      </c>
      <c r="F647" s="4" t="str">
        <f>IF(separador &gt; 0, LEFT(E647,separador - 1), E647)</f>
        <v>Brooklyn</v>
      </c>
      <c r="G647" s="4" t="str">
        <f>IF(separador &gt; 0, RIGHT(E647,largo -separador - 1),"-")</f>
        <v>NY 11210</v>
      </c>
      <c r="H647" s="4" t="s">
        <v>4518</v>
      </c>
      <c r="I647" s="4" t="s">
        <v>3521</v>
      </c>
      <c r="J647" s="13">
        <v>42777.051226851851</v>
      </c>
      <c r="K647" s="4" t="s">
        <v>3671</v>
      </c>
      <c r="M647" s="4">
        <f>IFERROR(FIND(",",E647),0)</f>
        <v>9</v>
      </c>
      <c r="N647" s="4">
        <f>LEN(E647)</f>
        <v>18</v>
      </c>
    </row>
    <row r="648" spans="1:14" outlineLevel="2" x14ac:dyDescent="0.3">
      <c r="A648" t="s">
        <v>4838</v>
      </c>
      <c r="B648" t="s">
        <v>166</v>
      </c>
      <c r="C648" s="1">
        <v>33555</v>
      </c>
      <c r="D648" t="s">
        <v>1326</v>
      </c>
      <c r="E648" t="s">
        <v>1327</v>
      </c>
      <c r="F648" t="str">
        <f>IF(separador &gt; 0, LEFT(E648,separador - 1), E648)</f>
        <v>Chula Vista</v>
      </c>
      <c r="G648" t="str">
        <f>IF(separador &gt; 0, RIGHT(E648,largo -separador - 1),"-")</f>
        <v>CA 91911</v>
      </c>
      <c r="H648" t="s">
        <v>3834</v>
      </c>
      <c r="I648" t="s">
        <v>2852</v>
      </c>
      <c r="J648" s="2">
        <v>43458.449756944443</v>
      </c>
      <c r="K648" t="s">
        <v>3671</v>
      </c>
      <c r="M648">
        <f>IFERROR(FIND(",",E648),0)</f>
        <v>12</v>
      </c>
      <c r="N648">
        <f>LEN(E648)</f>
        <v>21</v>
      </c>
    </row>
    <row r="649" spans="1:14" outlineLevel="2" x14ac:dyDescent="0.3">
      <c r="A649" s="4" t="s">
        <v>5257</v>
      </c>
      <c r="B649" s="4" t="s">
        <v>585</v>
      </c>
      <c r="C649" s="12">
        <v>33516</v>
      </c>
      <c r="D649" s="4" t="s">
        <v>2095</v>
      </c>
      <c r="E649" s="4" t="s">
        <v>1960</v>
      </c>
      <c r="F649" s="4" t="str">
        <f>IF(separador &gt; 0, LEFT(E649,separador - 1), E649)</f>
        <v>London</v>
      </c>
      <c r="G649" s="4" t="str">
        <f>IF(separador &gt; 0, RIGHT(E649,largo -separador - 1),"-")</f>
        <v>-</v>
      </c>
      <c r="H649" s="4" t="s">
        <v>4253</v>
      </c>
      <c r="I649" s="4" t="s">
        <v>3263</v>
      </c>
      <c r="J649" s="13">
        <v>39502.659421296295</v>
      </c>
      <c r="K649" s="4" t="s">
        <v>3671</v>
      </c>
      <c r="M649" s="4">
        <f>IFERROR(FIND(",",E649),0)</f>
        <v>0</v>
      </c>
      <c r="N649" s="4">
        <f>LEN(E649)</f>
        <v>6</v>
      </c>
    </row>
    <row r="650" spans="1:14" outlineLevel="2" x14ac:dyDescent="0.3">
      <c r="A650" t="s">
        <v>5177</v>
      </c>
      <c r="B650" t="s">
        <v>505</v>
      </c>
      <c r="C650" s="1">
        <v>33507</v>
      </c>
      <c r="D650" t="s">
        <v>1989</v>
      </c>
      <c r="E650" t="s">
        <v>1990</v>
      </c>
      <c r="F650" t="str">
        <f>IF(separador &gt; 0, LEFT(E650,separador - 1), E650)</f>
        <v>94 High Street</v>
      </c>
      <c r="G650" t="str">
        <f>IF(separador &gt; 0, RIGHT(E650,largo -separador - 1),"-")</f>
        <v>-</v>
      </c>
      <c r="H650" t="s">
        <v>4173</v>
      </c>
      <c r="I650" t="s">
        <v>3185</v>
      </c>
      <c r="J650" s="2">
        <v>42435.169930555552</v>
      </c>
      <c r="K650" t="s">
        <v>3671</v>
      </c>
      <c r="M650">
        <f>IFERROR(FIND(",",E650),0)</f>
        <v>0</v>
      </c>
      <c r="N650">
        <f>LEN(E650)</f>
        <v>14</v>
      </c>
    </row>
    <row r="651" spans="1:14" outlineLevel="2" x14ac:dyDescent="0.3">
      <c r="A651" s="4" t="s">
        <v>4719</v>
      </c>
      <c r="B651" s="4" t="s">
        <v>47</v>
      </c>
      <c r="C651" s="12">
        <v>33507</v>
      </c>
      <c r="D651" s="4" t="s">
        <v>1088</v>
      </c>
      <c r="E651" s="4" t="s">
        <v>1089</v>
      </c>
      <c r="F651" s="4" t="str">
        <f>IF(separador &gt; 0, LEFT(E651,separador - 1), E651)</f>
        <v>CW90 4ZA</v>
      </c>
      <c r="G651" s="4" t="str">
        <f>IF(separador &gt; 0, RIGHT(E651,largo -separador - 1),"-")</f>
        <v>-</v>
      </c>
      <c r="H651" s="4" t="s">
        <v>3715</v>
      </c>
      <c r="I651" s="4" t="s">
        <v>2733</v>
      </c>
      <c r="J651" s="13">
        <v>41834.06659722222</v>
      </c>
      <c r="K651" s="4" t="s">
        <v>3671</v>
      </c>
      <c r="M651" s="4">
        <f>IFERROR(FIND(",",E651),0)</f>
        <v>0</v>
      </c>
      <c r="N651" s="4">
        <f>LEN(E651)</f>
        <v>8</v>
      </c>
    </row>
    <row r="652" spans="1:14" outlineLevel="2" x14ac:dyDescent="0.3">
      <c r="A652" t="s">
        <v>4738</v>
      </c>
      <c r="B652" t="s">
        <v>66</v>
      </c>
      <c r="C652" s="1">
        <v>33379</v>
      </c>
      <c r="D652" t="s">
        <v>1126</v>
      </c>
      <c r="E652" t="s">
        <v>1127</v>
      </c>
      <c r="F652" t="str">
        <f>IF(separador &gt; 0, LEFT(E652,separador - 1), E652)</f>
        <v>KILMARNOCK</v>
      </c>
      <c r="G652" t="str">
        <f>IF(separador &gt; 0, RIGHT(E652,largo -separador - 1),"-")</f>
        <v>-</v>
      </c>
      <c r="H652" t="s">
        <v>3734</v>
      </c>
      <c r="I652" t="s">
        <v>2752</v>
      </c>
      <c r="J652" s="2">
        <v>41759.093657407408</v>
      </c>
      <c r="K652" t="s">
        <v>3671</v>
      </c>
      <c r="M652">
        <f>IFERROR(FIND(",",E652),0)</f>
        <v>0</v>
      </c>
      <c r="N652">
        <f>LEN(E652)</f>
        <v>10</v>
      </c>
    </row>
    <row r="653" spans="1:14" outlineLevel="2" x14ac:dyDescent="0.3">
      <c r="A653" s="4" t="s">
        <v>5517</v>
      </c>
      <c r="B653" s="4" t="s">
        <v>845</v>
      </c>
      <c r="C653" s="12">
        <v>33365</v>
      </c>
      <c r="D653" s="4" t="s">
        <v>2491</v>
      </c>
      <c r="E653" s="4" t="s">
        <v>2492</v>
      </c>
      <c r="F653" s="4" t="str">
        <f>IF(separador &gt; 0, LEFT(E653,separador - 1), E653)</f>
        <v>Brooklyn</v>
      </c>
      <c r="G653" s="4" t="str">
        <f>IF(separador &gt; 0, RIGHT(E653,largo -separador - 1),"-")</f>
        <v>NY 11233</v>
      </c>
      <c r="H653" s="4" t="s">
        <v>4513</v>
      </c>
      <c r="I653" s="4" t="s">
        <v>3516</v>
      </c>
      <c r="J653" s="13">
        <v>43132.967638888891</v>
      </c>
      <c r="K653" s="4" t="s">
        <v>3671</v>
      </c>
      <c r="M653" s="4">
        <f>IFERROR(FIND(",",E653),0)</f>
        <v>9</v>
      </c>
      <c r="N653" s="4">
        <f>LEN(E653)</f>
        <v>18</v>
      </c>
    </row>
    <row r="654" spans="1:14" outlineLevel="2" x14ac:dyDescent="0.3">
      <c r="A654" t="s">
        <v>4785</v>
      </c>
      <c r="B654" t="s">
        <v>113</v>
      </c>
      <c r="C654" s="1">
        <v>33363</v>
      </c>
      <c r="D654" t="s">
        <v>1220</v>
      </c>
      <c r="E654" t="s">
        <v>1221</v>
      </c>
      <c r="F654" t="str">
        <f>IF(separador &gt; 0, LEFT(E654,separador - 1), E654)</f>
        <v>CM60 7BF</v>
      </c>
      <c r="G654" t="str">
        <f>IF(separador &gt; 0, RIGHT(E654,largo -separador - 1),"-")</f>
        <v>-</v>
      </c>
      <c r="H654" t="s">
        <v>3781</v>
      </c>
      <c r="I654" t="s">
        <v>2799</v>
      </c>
      <c r="J654" s="2">
        <v>43651.827893518515</v>
      </c>
      <c r="K654" t="s">
        <v>3671</v>
      </c>
      <c r="M654">
        <f>IFERROR(FIND(",",E654),0)</f>
        <v>0</v>
      </c>
      <c r="N654">
        <f>LEN(E654)</f>
        <v>8</v>
      </c>
    </row>
    <row r="655" spans="1:14" outlineLevel="2" x14ac:dyDescent="0.3">
      <c r="A655" s="4" t="s">
        <v>5163</v>
      </c>
      <c r="B655" s="4" t="s">
        <v>491</v>
      </c>
      <c r="C655" s="12">
        <v>33341</v>
      </c>
      <c r="D655" s="4" t="s">
        <v>1960</v>
      </c>
      <c r="E655" s="4" t="s">
        <v>1971</v>
      </c>
      <c r="F655" s="4" t="str">
        <f>IF(separador &gt; 0, LEFT(E655,separador - 1), E655)</f>
        <v>WC57 1VD</v>
      </c>
      <c r="G655" s="4" t="str">
        <f>IF(separador &gt; 0, RIGHT(E655,largo -separador - 1),"-")</f>
        <v>-</v>
      </c>
      <c r="H655" s="4" t="s">
        <v>4159</v>
      </c>
      <c r="I655" s="4" t="s">
        <v>3171</v>
      </c>
      <c r="J655" s="13">
        <v>38918.742800925924</v>
      </c>
      <c r="K655" s="4" t="s">
        <v>3671</v>
      </c>
      <c r="M655" s="4">
        <f>IFERROR(FIND(",",E655),0)</f>
        <v>0</v>
      </c>
      <c r="N655" s="4">
        <f>LEN(E655)</f>
        <v>8</v>
      </c>
    </row>
    <row r="656" spans="1:14" outlineLevel="2" x14ac:dyDescent="0.3">
      <c r="A656" t="s">
        <v>5628</v>
      </c>
      <c r="B656" t="s">
        <v>956</v>
      </c>
      <c r="C656" s="1">
        <v>33293</v>
      </c>
      <c r="D656" t="s">
        <v>2643</v>
      </c>
      <c r="E656" t="s">
        <v>2536</v>
      </c>
      <c r="F656" t="str">
        <f>IF(separador &gt; 0, LEFT(E656,separador - 1), E656)</f>
        <v>Brooklyn</v>
      </c>
      <c r="G656" t="str">
        <f>IF(separador &gt; 0, RIGHT(E656,largo -separador - 1),"-")</f>
        <v>NY 11230</v>
      </c>
      <c r="H656" t="s">
        <v>4624</v>
      </c>
      <c r="I656" t="s">
        <v>3624</v>
      </c>
      <c r="J656" s="2">
        <v>39602.426493055558</v>
      </c>
      <c r="K656" t="s">
        <v>3671</v>
      </c>
      <c r="M656">
        <f>IFERROR(FIND(",",E656),0)</f>
        <v>9</v>
      </c>
      <c r="N656">
        <f>LEN(E656)</f>
        <v>18</v>
      </c>
    </row>
    <row r="657" spans="1:14" outlineLevel="2" x14ac:dyDescent="0.3">
      <c r="A657" s="4" t="s">
        <v>5075</v>
      </c>
      <c r="B657" s="4" t="s">
        <v>403</v>
      </c>
      <c r="C657" s="12">
        <v>33289</v>
      </c>
      <c r="D657" s="4" t="s">
        <v>1800</v>
      </c>
      <c r="E657" s="4" t="s">
        <v>1801</v>
      </c>
      <c r="F657" s="4" t="str">
        <f>IF(separador &gt; 0, LEFT(E657,separador - 1), E657)</f>
        <v>952 Acacia Ave.</v>
      </c>
      <c r="G657" s="4" t="str">
        <f>IF(separador &gt; 0, RIGHT(E657,largo -separador - 1),"-")</f>
        <v>-</v>
      </c>
      <c r="H657" s="4" t="s">
        <v>4071</v>
      </c>
      <c r="I657" s="4" t="s">
        <v>3085</v>
      </c>
      <c r="J657" s="13">
        <v>43371.111319444448</v>
      </c>
      <c r="K657" s="4" t="s">
        <v>3671</v>
      </c>
      <c r="M657" s="4">
        <f>IFERROR(FIND(",",E657),0)</f>
        <v>0</v>
      </c>
      <c r="N657" s="4">
        <f>LEN(E657)</f>
        <v>15</v>
      </c>
    </row>
    <row r="658" spans="1:14" outlineLevel="2" x14ac:dyDescent="0.3">
      <c r="A658" t="s">
        <v>5053</v>
      </c>
      <c r="B658" t="s">
        <v>381</v>
      </c>
      <c r="C658" s="1">
        <v>33256</v>
      </c>
      <c r="D658" t="s">
        <v>1756</v>
      </c>
      <c r="E658" t="s">
        <v>1757</v>
      </c>
      <c r="F658" t="str">
        <f>IF(separador &gt; 0, LEFT(E658,separador - 1), E658)</f>
        <v>32 Vernon St.</v>
      </c>
      <c r="G658" t="str">
        <f>IF(separador &gt; 0, RIGHT(E658,largo -separador - 1),"-")</f>
        <v>-</v>
      </c>
      <c r="H658" t="s">
        <v>4049</v>
      </c>
      <c r="I658" t="s">
        <v>3063</v>
      </c>
      <c r="J658" s="2">
        <v>38859.24759259259</v>
      </c>
      <c r="K658" t="s">
        <v>3671</v>
      </c>
      <c r="M658">
        <f>IFERROR(FIND(",",E658),0)</f>
        <v>0</v>
      </c>
      <c r="N658">
        <f>LEN(E658)</f>
        <v>13</v>
      </c>
    </row>
    <row r="659" spans="1:14" outlineLevel="2" x14ac:dyDescent="0.3">
      <c r="A659" s="4" t="s">
        <v>5023</v>
      </c>
      <c r="B659" s="4" t="s">
        <v>351</v>
      </c>
      <c r="C659" s="12">
        <v>33241</v>
      </c>
      <c r="D659" s="4" t="s">
        <v>1696</v>
      </c>
      <c r="E659" s="4" t="s">
        <v>1697</v>
      </c>
      <c r="F659" s="4" t="str">
        <f>IF(separador &gt; 0, LEFT(E659,separador - 1), E659)</f>
        <v>59 Pumpkin Hill Drive</v>
      </c>
      <c r="G659" s="4" t="str">
        <f>IF(separador &gt; 0, RIGHT(E659,largo -separador - 1),"-")</f>
        <v>-</v>
      </c>
      <c r="H659" s="4" t="s">
        <v>4019</v>
      </c>
      <c r="I659" s="4" t="s">
        <v>3033</v>
      </c>
      <c r="J659" s="13">
        <v>41975.049131944441</v>
      </c>
      <c r="K659" s="4" t="s">
        <v>3671</v>
      </c>
      <c r="M659" s="4">
        <f>IFERROR(FIND(",",E659),0)</f>
        <v>0</v>
      </c>
      <c r="N659" s="4">
        <f>LEN(E659)</f>
        <v>21</v>
      </c>
    </row>
    <row r="660" spans="1:14" outlineLevel="2" x14ac:dyDescent="0.3">
      <c r="A660" t="s">
        <v>4792</v>
      </c>
      <c r="B660" t="s">
        <v>120</v>
      </c>
      <c r="C660" s="1">
        <v>33094</v>
      </c>
      <c r="D660" t="s">
        <v>1234</v>
      </c>
      <c r="E660" t="s">
        <v>1235</v>
      </c>
      <c r="F660" t="str">
        <f>IF(separador &gt; 0, LEFT(E660,separador - 1), E660)</f>
        <v>Santa Ana</v>
      </c>
      <c r="G660" t="str">
        <f>IF(separador &gt; 0, RIGHT(E660,largo -separador - 1),"-")</f>
        <v>CA 92707</v>
      </c>
      <c r="H660" t="s">
        <v>3788</v>
      </c>
      <c r="I660" t="s">
        <v>2806</v>
      </c>
      <c r="J660" s="2">
        <v>39984.321550925924</v>
      </c>
      <c r="K660" t="s">
        <v>3671</v>
      </c>
      <c r="M660">
        <f>IFERROR(FIND(",",E660),0)</f>
        <v>10</v>
      </c>
      <c r="N660">
        <f>LEN(E660)</f>
        <v>19</v>
      </c>
    </row>
    <row r="661" spans="1:14" outlineLevel="2" x14ac:dyDescent="0.3">
      <c r="A661" s="4" t="s">
        <v>5462</v>
      </c>
      <c r="B661" s="4" t="s">
        <v>790</v>
      </c>
      <c r="C661" s="12">
        <v>33032</v>
      </c>
      <c r="D661" s="4" t="s">
        <v>2383</v>
      </c>
      <c r="E661" s="4" t="s">
        <v>2384</v>
      </c>
      <c r="F661" s="4" t="str">
        <f>IF(separador &gt; 0, LEFT(E661,separador - 1), E661)</f>
        <v>Lindenhurst</v>
      </c>
      <c r="G661" s="4" t="str">
        <f>IF(separador &gt; 0, RIGHT(E661,largo -separador - 1),"-")</f>
        <v>NY 11757</v>
      </c>
      <c r="H661" s="4" t="s">
        <v>4458</v>
      </c>
      <c r="I661" s="4" t="s">
        <v>3461</v>
      </c>
      <c r="J661" s="13">
        <v>40600.060335648152</v>
      </c>
      <c r="K661" s="4" t="s">
        <v>3671</v>
      </c>
      <c r="M661" s="4">
        <f>IFERROR(FIND(",",E661),0)</f>
        <v>12</v>
      </c>
      <c r="N661" s="4">
        <f>LEN(E661)</f>
        <v>21</v>
      </c>
    </row>
    <row r="662" spans="1:14" outlineLevel="2" x14ac:dyDescent="0.3">
      <c r="A662" t="s">
        <v>5403</v>
      </c>
      <c r="B662" t="s">
        <v>731</v>
      </c>
      <c r="C662" s="1">
        <v>32968</v>
      </c>
      <c r="D662" t="s">
        <v>1960</v>
      </c>
      <c r="E662" t="s">
        <v>2289</v>
      </c>
      <c r="F662" t="str">
        <f>IF(separador &gt; 0, LEFT(E662,separador - 1), E662)</f>
        <v>W64 5TV</v>
      </c>
      <c r="G662" t="str">
        <f>IF(separador &gt; 0, RIGHT(E662,largo -separador - 1),"-")</f>
        <v>-</v>
      </c>
      <c r="H662" t="s">
        <v>4399</v>
      </c>
      <c r="I662" t="s">
        <v>3406</v>
      </c>
      <c r="J662" s="2">
        <v>43585.164317129631</v>
      </c>
      <c r="K662" t="s">
        <v>3671</v>
      </c>
      <c r="M662">
        <f>IFERROR(FIND(",",E662),0)</f>
        <v>0</v>
      </c>
      <c r="N662">
        <f>LEN(E662)</f>
        <v>7</v>
      </c>
    </row>
    <row r="663" spans="1:14" outlineLevel="2" x14ac:dyDescent="0.3">
      <c r="A663" s="4" t="s">
        <v>5492</v>
      </c>
      <c r="B663" s="4" t="s">
        <v>820</v>
      </c>
      <c r="C663" s="12">
        <v>32948</v>
      </c>
      <c r="D663" s="4" t="s">
        <v>2442</v>
      </c>
      <c r="E663" s="4" t="s">
        <v>2443</v>
      </c>
      <c r="F663" s="4" t="str">
        <f>IF(separador &gt; 0, LEFT(E663,separador - 1), E663)</f>
        <v>New York</v>
      </c>
      <c r="G663" s="4" t="str">
        <f>IF(separador &gt; 0, RIGHT(E663,largo -separador - 1),"-")</f>
        <v>NY 10029</v>
      </c>
      <c r="H663" s="4" t="s">
        <v>4488</v>
      </c>
      <c r="I663" s="4" t="s">
        <v>3491</v>
      </c>
      <c r="J663" s="13">
        <v>43589.778611111113</v>
      </c>
      <c r="K663" s="4" t="s">
        <v>3671</v>
      </c>
      <c r="M663" s="4">
        <f>IFERROR(FIND(",",E663),0)</f>
        <v>9</v>
      </c>
      <c r="N663" s="4">
        <f>LEN(E663)</f>
        <v>18</v>
      </c>
    </row>
    <row r="664" spans="1:14" outlineLevel="2" x14ac:dyDescent="0.3">
      <c r="A664" t="s">
        <v>4779</v>
      </c>
      <c r="B664" t="s">
        <v>107</v>
      </c>
      <c r="C664" s="1">
        <v>32884</v>
      </c>
      <c r="D664" t="s">
        <v>1208</v>
      </c>
      <c r="E664" t="s">
        <v>1209</v>
      </c>
      <c r="F664" t="str">
        <f>IF(separador &gt; 0, LEFT(E664,separador - 1), E664)</f>
        <v>GU45 5EZ</v>
      </c>
      <c r="G664" t="str">
        <f>IF(separador &gt; 0, RIGHT(E664,largo -separador - 1),"-")</f>
        <v>-</v>
      </c>
      <c r="H664" t="s">
        <v>3775</v>
      </c>
      <c r="I664" t="s">
        <v>2793</v>
      </c>
      <c r="J664" s="2">
        <v>41535.754872685182</v>
      </c>
      <c r="K664" t="s">
        <v>3671</v>
      </c>
      <c r="M664">
        <f>IFERROR(FIND(",",E664),0)</f>
        <v>0</v>
      </c>
      <c r="N664">
        <f>LEN(E664)</f>
        <v>8</v>
      </c>
    </row>
    <row r="665" spans="1:14" outlineLevel="2" x14ac:dyDescent="0.3">
      <c r="A665" s="4" t="s">
        <v>5048</v>
      </c>
      <c r="B665" s="4" t="s">
        <v>376</v>
      </c>
      <c r="C665" s="12">
        <v>32862</v>
      </c>
      <c r="D665" s="4" t="s">
        <v>1746</v>
      </c>
      <c r="E665" s="4" t="s">
        <v>1747</v>
      </c>
      <c r="F665" s="4" t="str">
        <f>IF(separador &gt; 0, LEFT(E665,separador - 1), E665)</f>
        <v>164 West Coffee St.</v>
      </c>
      <c r="G665" s="4" t="str">
        <f>IF(separador &gt; 0, RIGHT(E665,largo -separador - 1),"-")</f>
        <v>-</v>
      </c>
      <c r="H665" s="4" t="s">
        <v>4044</v>
      </c>
      <c r="I665" s="4" t="s">
        <v>3058</v>
      </c>
      <c r="J665" s="13">
        <v>41805.475636574076</v>
      </c>
      <c r="K665" s="4" t="s">
        <v>3671</v>
      </c>
      <c r="M665" s="4">
        <f>IFERROR(FIND(",",E665),0)</f>
        <v>0</v>
      </c>
      <c r="N665" s="4">
        <f>LEN(E665)</f>
        <v>19</v>
      </c>
    </row>
    <row r="666" spans="1:14" outlineLevel="2" x14ac:dyDescent="0.3">
      <c r="A666" t="s">
        <v>4936</v>
      </c>
      <c r="B666" t="s">
        <v>264</v>
      </c>
      <c r="C666" s="1">
        <v>32840</v>
      </c>
      <c r="D666" t="s">
        <v>1522</v>
      </c>
      <c r="E666" t="s">
        <v>1523</v>
      </c>
      <c r="F666" t="str">
        <f>IF(separador &gt; 0, LEFT(E666,separador - 1), E666)</f>
        <v>703 Bay Ave.</v>
      </c>
      <c r="G666" t="str">
        <f>IF(separador &gt; 0, RIGHT(E666,largo -separador - 1),"-")</f>
        <v>-</v>
      </c>
      <c r="H666" t="s">
        <v>3932</v>
      </c>
      <c r="I666" t="s">
        <v>2947</v>
      </c>
      <c r="J666" s="2">
        <v>42369.362060185187</v>
      </c>
      <c r="K666" t="s">
        <v>3671</v>
      </c>
      <c r="M666">
        <f>IFERROR(FIND(",",E666),0)</f>
        <v>0</v>
      </c>
      <c r="N666">
        <f>LEN(E666)</f>
        <v>12</v>
      </c>
    </row>
    <row r="667" spans="1:14" outlineLevel="2" x14ac:dyDescent="0.3">
      <c r="A667" s="4" t="s">
        <v>5605</v>
      </c>
      <c r="B667" s="4" t="s">
        <v>933</v>
      </c>
      <c r="C667" s="12">
        <v>32835</v>
      </c>
      <c r="D667" s="4" t="s">
        <v>2620</v>
      </c>
      <c r="E667" s="4" t="s">
        <v>2466</v>
      </c>
      <c r="F667" s="4" t="str">
        <f>IF(separador &gt; 0, LEFT(E667,separador - 1), E667)</f>
        <v>Brooklyn</v>
      </c>
      <c r="G667" s="4" t="str">
        <f>IF(separador &gt; 0, RIGHT(E667,largo -separador - 1),"-")</f>
        <v>NY 11211</v>
      </c>
      <c r="H667" s="4" t="s">
        <v>4601</v>
      </c>
      <c r="I667" s="4" t="s">
        <v>3602</v>
      </c>
      <c r="J667" s="13">
        <v>38751.847303240742</v>
      </c>
      <c r="K667" s="4" t="s">
        <v>3671</v>
      </c>
      <c r="M667" s="4">
        <f>IFERROR(FIND(",",E667),0)</f>
        <v>9</v>
      </c>
      <c r="N667" s="4">
        <f>LEN(E667)</f>
        <v>18</v>
      </c>
    </row>
    <row r="668" spans="1:14" outlineLevel="2" x14ac:dyDescent="0.3">
      <c r="A668" t="s">
        <v>5063</v>
      </c>
      <c r="B668" t="s">
        <v>391</v>
      </c>
      <c r="C668" s="1">
        <v>32785</v>
      </c>
      <c r="D668" t="s">
        <v>1776</v>
      </c>
      <c r="E668" t="s">
        <v>1777</v>
      </c>
      <c r="F668" t="str">
        <f>IF(separador &gt; 0, LEFT(E668,separador - 1), E668)</f>
        <v>791 Lexington Ave.</v>
      </c>
      <c r="G668" t="str">
        <f>IF(separador &gt; 0, RIGHT(E668,largo -separador - 1),"-")</f>
        <v>-</v>
      </c>
      <c r="H668" t="s">
        <v>4059</v>
      </c>
      <c r="I668" t="s">
        <v>3073</v>
      </c>
      <c r="J668" s="2">
        <v>41819.767708333333</v>
      </c>
      <c r="K668" t="s">
        <v>3671</v>
      </c>
      <c r="M668">
        <f>IFERROR(FIND(",",E668),0)</f>
        <v>0</v>
      </c>
      <c r="N668">
        <f>LEN(E668)</f>
        <v>18</v>
      </c>
    </row>
    <row r="669" spans="1:14" outlineLevel="2" x14ac:dyDescent="0.3">
      <c r="A669" s="4" t="s">
        <v>5603</v>
      </c>
      <c r="B669" s="4" t="s">
        <v>931</v>
      </c>
      <c r="C669" s="12">
        <v>32783</v>
      </c>
      <c r="D669" s="4" t="s">
        <v>2618</v>
      </c>
      <c r="E669" s="4" t="s">
        <v>2544</v>
      </c>
      <c r="F669" s="4" t="str">
        <f>IF(separador &gt; 0, LEFT(E669,separador - 1), E669)</f>
        <v>New York</v>
      </c>
      <c r="G669" s="4" t="str">
        <f>IF(separador &gt; 0, RIGHT(E669,largo -separador - 1),"-")</f>
        <v>NY 10002</v>
      </c>
      <c r="H669" s="4" t="s">
        <v>4599</v>
      </c>
      <c r="I669" s="4" t="s">
        <v>3600</v>
      </c>
      <c r="J669" s="13">
        <v>38443.885243055556</v>
      </c>
      <c r="K669" s="4" t="s">
        <v>3671</v>
      </c>
      <c r="M669" s="4">
        <f>IFERROR(FIND(",",E669),0)</f>
        <v>9</v>
      </c>
      <c r="N669" s="4">
        <f>LEN(E669)</f>
        <v>18</v>
      </c>
    </row>
    <row r="670" spans="1:14" outlineLevel="2" x14ac:dyDescent="0.3">
      <c r="A670" t="s">
        <v>4870</v>
      </c>
      <c r="B670" t="s">
        <v>198</v>
      </c>
      <c r="C670" s="1">
        <v>32776</v>
      </c>
      <c r="D670" t="s">
        <v>1390</v>
      </c>
      <c r="E670" t="s">
        <v>1391</v>
      </c>
      <c r="F670" t="str">
        <f>IF(separador &gt; 0, LEFT(E670,separador - 1), E670)</f>
        <v>19 Strawberry Street</v>
      </c>
      <c r="G670" t="str">
        <f>IF(separador &gt; 0, RIGHT(E670,largo -separador - 1),"-")</f>
        <v>-</v>
      </c>
      <c r="H670" t="s">
        <v>3866</v>
      </c>
      <c r="I670" t="s">
        <v>2882</v>
      </c>
      <c r="J670" s="2">
        <v>39180.475601851853</v>
      </c>
      <c r="K670" t="s">
        <v>3671</v>
      </c>
      <c r="M670">
        <f>IFERROR(FIND(",",E670),0)</f>
        <v>0</v>
      </c>
      <c r="N670">
        <f>LEN(E670)</f>
        <v>20</v>
      </c>
    </row>
    <row r="671" spans="1:14" outlineLevel="2" x14ac:dyDescent="0.3">
      <c r="A671" s="4" t="s">
        <v>5432</v>
      </c>
      <c r="B671" s="4" t="s">
        <v>760</v>
      </c>
      <c r="C671" s="12">
        <v>32655</v>
      </c>
      <c r="D671" s="4" t="s">
        <v>2327</v>
      </c>
      <c r="E671" s="4" t="s">
        <v>2328</v>
      </c>
      <c r="F671" s="4" t="str">
        <f>IF(separador &gt; 0, LEFT(E671,separador - 1), E671)</f>
        <v>26 The Drive</v>
      </c>
      <c r="G671" s="4" t="str">
        <f>IF(separador &gt; 0, RIGHT(E671,largo -separador - 1),"-")</f>
        <v>-</v>
      </c>
      <c r="H671" s="4" t="s">
        <v>4428</v>
      </c>
      <c r="I671" s="4" t="s">
        <v>3433</v>
      </c>
      <c r="J671" s="13">
        <v>40869.630023148151</v>
      </c>
      <c r="K671" s="4" t="s">
        <v>3671</v>
      </c>
      <c r="M671" s="4">
        <f>IFERROR(FIND(",",E671),0)</f>
        <v>0</v>
      </c>
      <c r="N671" s="4">
        <f>LEN(E671)</f>
        <v>12</v>
      </c>
    </row>
    <row r="672" spans="1:14" outlineLevel="2" x14ac:dyDescent="0.3">
      <c r="A672" t="s">
        <v>4709</v>
      </c>
      <c r="B672" t="s">
        <v>37</v>
      </c>
      <c r="C672" s="1">
        <v>32650</v>
      </c>
      <c r="D672" t="s">
        <v>1068</v>
      </c>
      <c r="E672" t="s">
        <v>1069</v>
      </c>
      <c r="F672" t="str">
        <f>IF(separador &gt; 0, LEFT(E672,separador - 1), E672)</f>
        <v>Park Forest</v>
      </c>
      <c r="G672" t="str">
        <f>IF(separador &gt; 0, RIGHT(E672,largo -separador - 1),"-")</f>
        <v>IL 60466</v>
      </c>
      <c r="H672" t="s">
        <v>3705</v>
      </c>
      <c r="I672" t="s">
        <v>2723</v>
      </c>
      <c r="J672" s="2">
        <v>42754.807673611111</v>
      </c>
      <c r="K672" t="s">
        <v>3671</v>
      </c>
      <c r="M672">
        <f>IFERROR(FIND(",",E672),0)</f>
        <v>12</v>
      </c>
      <c r="N672">
        <f>LEN(E672)</f>
        <v>21</v>
      </c>
    </row>
    <row r="673" spans="1:14" outlineLevel="2" x14ac:dyDescent="0.3">
      <c r="A673" s="4" t="s">
        <v>4899</v>
      </c>
      <c r="B673" s="4" t="s">
        <v>227</v>
      </c>
      <c r="C673" s="12">
        <v>32633</v>
      </c>
      <c r="D673" s="4" t="s">
        <v>1448</v>
      </c>
      <c r="E673" s="4" t="s">
        <v>1449</v>
      </c>
      <c r="F673" s="4" t="str">
        <f>IF(separador &gt; 0, LEFT(E673,separador - 1), E673)</f>
        <v>82 Clark Ave.</v>
      </c>
      <c r="G673" s="4" t="str">
        <f>IF(separador &gt; 0, RIGHT(E673,largo -separador - 1),"-")</f>
        <v>-</v>
      </c>
      <c r="H673" s="4" t="s">
        <v>3895</v>
      </c>
      <c r="I673" s="4" t="s">
        <v>2910</v>
      </c>
      <c r="J673" s="13">
        <v>41122.587731481479</v>
      </c>
      <c r="K673" s="4" t="s">
        <v>3671</v>
      </c>
      <c r="M673" s="4">
        <f>IFERROR(FIND(",",E673),0)</f>
        <v>0</v>
      </c>
      <c r="N673" s="4">
        <f>LEN(E673)</f>
        <v>13</v>
      </c>
    </row>
    <row r="674" spans="1:14" outlineLevel="2" x14ac:dyDescent="0.3">
      <c r="A674" t="s">
        <v>5183</v>
      </c>
      <c r="B674" t="s">
        <v>511</v>
      </c>
      <c r="C674" s="1">
        <v>32576</v>
      </c>
      <c r="D674" t="s">
        <v>1997</v>
      </c>
      <c r="E674" t="s">
        <v>1998</v>
      </c>
      <c r="F674" t="str">
        <f>IF(separador &gt; 0, LEFT(E674,separador - 1), E674)</f>
        <v>47 Green Lane</v>
      </c>
      <c r="G674" t="str">
        <f>IF(separador &gt; 0, RIGHT(E674,largo -separador - 1),"-")</f>
        <v>-</v>
      </c>
      <c r="H674" t="s">
        <v>4179</v>
      </c>
      <c r="I674" t="s">
        <v>3191</v>
      </c>
      <c r="J674" s="2">
        <v>42668.472245370373</v>
      </c>
      <c r="K674" t="s">
        <v>3671</v>
      </c>
      <c r="M674">
        <f>IFERROR(FIND(",",E674),0)</f>
        <v>0</v>
      </c>
      <c r="N674">
        <f>LEN(E674)</f>
        <v>13</v>
      </c>
    </row>
    <row r="675" spans="1:14" outlineLevel="2" x14ac:dyDescent="0.3">
      <c r="A675" s="4" t="s">
        <v>4911</v>
      </c>
      <c r="B675" s="4" t="s">
        <v>239</v>
      </c>
      <c r="C675" s="12">
        <v>32560</v>
      </c>
      <c r="D675" s="4" t="s">
        <v>1472</v>
      </c>
      <c r="E675" s="4" t="s">
        <v>1473</v>
      </c>
      <c r="F675" s="4" t="str">
        <f>IF(separador &gt; 0, LEFT(E675,separador - 1), E675)</f>
        <v>94 Tallwood Avenue</v>
      </c>
      <c r="G675" s="4" t="str">
        <f>IF(separador &gt; 0, RIGHT(E675,largo -separador - 1),"-")</f>
        <v>-</v>
      </c>
      <c r="H675" s="4" t="s">
        <v>3907</v>
      </c>
      <c r="I675" s="4" t="s">
        <v>2922</v>
      </c>
      <c r="J675" s="13">
        <v>41876.844050925924</v>
      </c>
      <c r="K675" s="4" t="s">
        <v>3671</v>
      </c>
      <c r="M675" s="4">
        <f>IFERROR(FIND(",",E675),0)</f>
        <v>0</v>
      </c>
      <c r="N675" s="4">
        <f>LEN(E675)</f>
        <v>18</v>
      </c>
    </row>
    <row r="676" spans="1:14" outlineLevel="2" x14ac:dyDescent="0.3">
      <c r="A676" t="s">
        <v>5375</v>
      </c>
      <c r="B676" t="s">
        <v>703</v>
      </c>
      <c r="C676" s="1">
        <v>32550</v>
      </c>
      <c r="D676" t="s">
        <v>2251</v>
      </c>
      <c r="E676" t="s">
        <v>2252</v>
      </c>
      <c r="F676" t="str">
        <f>IF(separador &gt; 0, LEFT(E676,separador - 1), E676)</f>
        <v>593 New Road</v>
      </c>
      <c r="G676" t="str">
        <f>IF(separador &gt; 0, RIGHT(E676,largo -separador - 1),"-")</f>
        <v>-</v>
      </c>
      <c r="H676" t="s">
        <v>4371</v>
      </c>
      <c r="I676" t="s">
        <v>3379</v>
      </c>
      <c r="J676" s="2">
        <v>38654.639780092592</v>
      </c>
      <c r="K676" t="s">
        <v>3671</v>
      </c>
      <c r="M676">
        <f>IFERROR(FIND(",",E676),0)</f>
        <v>0</v>
      </c>
      <c r="N676">
        <f>LEN(E676)</f>
        <v>12</v>
      </c>
    </row>
    <row r="677" spans="1:14" outlineLevel="2" x14ac:dyDescent="0.3">
      <c r="A677" s="4" t="s">
        <v>5074</v>
      </c>
      <c r="B677" s="4" t="s">
        <v>402</v>
      </c>
      <c r="C677" s="12">
        <v>32494</v>
      </c>
      <c r="D677" s="4" t="s">
        <v>1798</v>
      </c>
      <c r="E677" s="4" t="s">
        <v>1799</v>
      </c>
      <c r="F677" s="4" t="str">
        <f>IF(separador &gt; 0, LEFT(E677,separador - 1), E677)</f>
        <v>333 South Tower Ave.</v>
      </c>
      <c r="G677" s="4" t="str">
        <f>IF(separador &gt; 0, RIGHT(E677,largo -separador - 1),"-")</f>
        <v>-</v>
      </c>
      <c r="H677" s="4" t="s">
        <v>4070</v>
      </c>
      <c r="I677" s="4" t="s">
        <v>3084</v>
      </c>
      <c r="J677" s="13">
        <v>42037.305277777778</v>
      </c>
      <c r="K677" s="4" t="s">
        <v>3671</v>
      </c>
      <c r="M677" s="4">
        <f>IFERROR(FIND(",",E677),0)</f>
        <v>0</v>
      </c>
      <c r="N677" s="4">
        <f>LEN(E677)</f>
        <v>20</v>
      </c>
    </row>
    <row r="678" spans="1:14" outlineLevel="2" x14ac:dyDescent="0.3">
      <c r="A678" t="s">
        <v>4922</v>
      </c>
      <c r="B678" t="s">
        <v>250</v>
      </c>
      <c r="C678" s="1">
        <v>32483</v>
      </c>
      <c r="D678" t="s">
        <v>1494</v>
      </c>
      <c r="E678" t="s">
        <v>1495</v>
      </c>
      <c r="F678" t="str">
        <f>IF(separador &gt; 0, LEFT(E678,separador - 1), E678)</f>
        <v>877 Coffee Ave.</v>
      </c>
      <c r="G678" t="str">
        <f>IF(separador &gt; 0, RIGHT(E678,largo -separador - 1),"-")</f>
        <v>-</v>
      </c>
      <c r="H678" t="s">
        <v>3918</v>
      </c>
      <c r="I678" t="s">
        <v>2933</v>
      </c>
      <c r="J678" s="2">
        <v>43260.300254629627</v>
      </c>
      <c r="K678" t="s">
        <v>3671</v>
      </c>
      <c r="M678">
        <f>IFERROR(FIND(",",E678),0)</f>
        <v>0</v>
      </c>
      <c r="N678">
        <f>LEN(E678)</f>
        <v>15</v>
      </c>
    </row>
    <row r="679" spans="1:14" outlineLevel="2" x14ac:dyDescent="0.3">
      <c r="A679" s="4" t="s">
        <v>5003</v>
      </c>
      <c r="B679" s="4" t="s">
        <v>331</v>
      </c>
      <c r="C679" s="12">
        <v>32451</v>
      </c>
      <c r="D679" s="4" t="s">
        <v>1656</v>
      </c>
      <c r="E679" s="4" t="s">
        <v>1657</v>
      </c>
      <c r="F679" s="4" t="str">
        <f>IF(separador &gt; 0, LEFT(E679,separador - 1), E679)</f>
        <v>9974 Holly Dr.</v>
      </c>
      <c r="G679" s="4" t="str">
        <f>IF(separador &gt; 0, RIGHT(E679,largo -separador - 1),"-")</f>
        <v>-</v>
      </c>
      <c r="H679" s="4" t="s">
        <v>3999</v>
      </c>
      <c r="I679" s="4" t="s">
        <v>3013</v>
      </c>
      <c r="J679" s="13">
        <v>38477.986006944448</v>
      </c>
      <c r="K679" s="4" t="s">
        <v>3671</v>
      </c>
      <c r="M679" s="4">
        <f>IFERROR(FIND(",",E679),0)</f>
        <v>0</v>
      </c>
      <c r="N679" s="4">
        <f>LEN(E679)</f>
        <v>14</v>
      </c>
    </row>
    <row r="680" spans="1:14" outlineLevel="2" x14ac:dyDescent="0.3">
      <c r="A680" t="s">
        <v>4933</v>
      </c>
      <c r="B680" t="s">
        <v>261</v>
      </c>
      <c r="C680" s="1">
        <v>32410</v>
      </c>
      <c r="D680" t="s">
        <v>1516</v>
      </c>
      <c r="E680" t="s">
        <v>1517</v>
      </c>
      <c r="F680" t="str">
        <f>IF(separador &gt; 0, LEFT(E680,separador - 1), E680)</f>
        <v>80 Gulf Drive</v>
      </c>
      <c r="G680" t="str">
        <f>IF(separador &gt; 0, RIGHT(E680,largo -separador - 1),"-")</f>
        <v>-</v>
      </c>
      <c r="H680" t="s">
        <v>3929</v>
      </c>
      <c r="I680" t="s">
        <v>2944</v>
      </c>
      <c r="J680" s="2">
        <v>40961.686793981484</v>
      </c>
      <c r="K680" t="s">
        <v>3671</v>
      </c>
      <c r="M680">
        <f>IFERROR(FIND(",",E680),0)</f>
        <v>0</v>
      </c>
      <c r="N680">
        <f>LEN(E680)</f>
        <v>13</v>
      </c>
    </row>
    <row r="681" spans="1:14" outlineLevel="2" x14ac:dyDescent="0.3">
      <c r="A681" s="4" t="s">
        <v>5625</v>
      </c>
      <c r="B681" s="4" t="s">
        <v>953</v>
      </c>
      <c r="C681" s="12">
        <v>32250</v>
      </c>
      <c r="D681" s="4" t="s">
        <v>2640</v>
      </c>
      <c r="E681" s="4" t="s">
        <v>2382</v>
      </c>
      <c r="F681" s="4" t="str">
        <f>IF(separador &gt; 0, LEFT(E681,separador - 1), E681)</f>
        <v>Patchogue</v>
      </c>
      <c r="G681" s="4" t="str">
        <f>IF(separador &gt; 0, RIGHT(E681,largo -separador - 1),"-")</f>
        <v>NY 11772</v>
      </c>
      <c r="H681" s="4" t="s">
        <v>4621</v>
      </c>
      <c r="I681" s="4" t="s">
        <v>3011</v>
      </c>
      <c r="J681" s="13">
        <v>41749.10732638889</v>
      </c>
      <c r="K681" s="4" t="s">
        <v>3671</v>
      </c>
      <c r="M681" s="4">
        <f>IFERROR(FIND(",",E681),0)</f>
        <v>10</v>
      </c>
      <c r="N681" s="4">
        <f>LEN(E681)</f>
        <v>19</v>
      </c>
    </row>
    <row r="682" spans="1:14" outlineLevel="2" x14ac:dyDescent="0.3">
      <c r="A682" t="s">
        <v>5082</v>
      </c>
      <c r="B682" t="s">
        <v>410</v>
      </c>
      <c r="C682" s="1">
        <v>32224</v>
      </c>
      <c r="D682" t="s">
        <v>1814</v>
      </c>
      <c r="E682" t="s">
        <v>1815</v>
      </c>
      <c r="F682" t="str">
        <f>IF(separador &gt; 0, LEFT(E682,separador - 1), E682)</f>
        <v>8827 Wilson Lane</v>
      </c>
      <c r="G682" t="str">
        <f>IF(separador &gt; 0, RIGHT(E682,largo -separador - 1),"-")</f>
        <v>-</v>
      </c>
      <c r="H682" t="s">
        <v>4078</v>
      </c>
      <c r="I682" t="s">
        <v>3092</v>
      </c>
      <c r="J682" s="2">
        <v>42513.389837962961</v>
      </c>
      <c r="K682" t="s">
        <v>3671</v>
      </c>
      <c r="M682">
        <f>IFERROR(FIND(",",E682),0)</f>
        <v>0</v>
      </c>
      <c r="N682">
        <f>LEN(E682)</f>
        <v>16</v>
      </c>
    </row>
    <row r="683" spans="1:14" outlineLevel="2" x14ac:dyDescent="0.3">
      <c r="A683" s="4" t="s">
        <v>5251</v>
      </c>
      <c r="B683" s="4" t="s">
        <v>579</v>
      </c>
      <c r="C683" s="12">
        <v>32150</v>
      </c>
      <c r="D683" s="4" t="s">
        <v>2087</v>
      </c>
      <c r="E683" s="4" t="s">
        <v>1960</v>
      </c>
      <c r="F683" s="4" t="str">
        <f>IF(separador &gt; 0, LEFT(E683,separador - 1), E683)</f>
        <v>London</v>
      </c>
      <c r="G683" s="4" t="str">
        <f>IF(separador &gt; 0, RIGHT(E683,largo -separador - 1),"-")</f>
        <v>-</v>
      </c>
      <c r="H683" s="4" t="s">
        <v>4247</v>
      </c>
      <c r="I683" s="4" t="s">
        <v>3257</v>
      </c>
      <c r="J683" s="13">
        <v>38658.521006944444</v>
      </c>
      <c r="K683" s="4" t="s">
        <v>3671</v>
      </c>
      <c r="M683" s="4">
        <f>IFERROR(FIND(",",E683),0)</f>
        <v>0</v>
      </c>
      <c r="N683" s="4">
        <f>LEN(E683)</f>
        <v>6</v>
      </c>
    </row>
    <row r="684" spans="1:14" outlineLevel="2" x14ac:dyDescent="0.3">
      <c r="A684" t="s">
        <v>4961</v>
      </c>
      <c r="B684" t="s">
        <v>289</v>
      </c>
      <c r="C684" s="1">
        <v>31998</v>
      </c>
      <c r="D684" t="s">
        <v>1572</v>
      </c>
      <c r="E684" t="s">
        <v>1573</v>
      </c>
      <c r="F684" t="str">
        <f>IF(separador &gt; 0, LEFT(E684,separador - 1), E684)</f>
        <v>118 Pineknoll Drive</v>
      </c>
      <c r="G684" t="str">
        <f>IF(separador &gt; 0, RIGHT(E684,largo -separador - 1),"-")</f>
        <v>-</v>
      </c>
      <c r="H684" t="s">
        <v>3957</v>
      </c>
      <c r="I684" t="s">
        <v>2972</v>
      </c>
      <c r="J684" s="2">
        <v>41749.716666666667</v>
      </c>
      <c r="K684" t="s">
        <v>3671</v>
      </c>
      <c r="M684">
        <f>IFERROR(FIND(",",E684),0)</f>
        <v>0</v>
      </c>
      <c r="N684">
        <f>LEN(E684)</f>
        <v>19</v>
      </c>
    </row>
    <row r="685" spans="1:14" outlineLevel="2" x14ac:dyDescent="0.3">
      <c r="A685" s="4" t="s">
        <v>4862</v>
      </c>
      <c r="B685" s="4" t="s">
        <v>190</v>
      </c>
      <c r="C685" s="12">
        <v>31986</v>
      </c>
      <c r="D685" s="4" t="s">
        <v>1374</v>
      </c>
      <c r="E685" s="4" t="s">
        <v>1375</v>
      </c>
      <c r="F685" s="4" t="str">
        <f>IF(separador &gt; 0, LEFT(E685,separador - 1), E685)</f>
        <v>7728 Mayfield Drive</v>
      </c>
      <c r="G685" s="4" t="str">
        <f>IF(separador &gt; 0, RIGHT(E685,largo -separador - 1),"-")</f>
        <v>-</v>
      </c>
      <c r="H685" s="4" t="s">
        <v>3858</v>
      </c>
      <c r="I685" s="4" t="s">
        <v>2874</v>
      </c>
      <c r="J685" s="13">
        <v>42573.454733796294</v>
      </c>
      <c r="K685" s="4" t="s">
        <v>3671</v>
      </c>
      <c r="M685" s="4">
        <f>IFERROR(FIND(",",E685),0)</f>
        <v>0</v>
      </c>
      <c r="N685" s="4">
        <f>LEN(E685)</f>
        <v>19</v>
      </c>
    </row>
    <row r="686" spans="1:14" outlineLevel="2" x14ac:dyDescent="0.3">
      <c r="A686" t="s">
        <v>5455</v>
      </c>
      <c r="B686" t="s">
        <v>783</v>
      </c>
      <c r="C686" s="1">
        <v>31959</v>
      </c>
      <c r="D686" t="s">
        <v>2369</v>
      </c>
      <c r="E686" t="s">
        <v>2370</v>
      </c>
      <c r="F686" t="str">
        <f>IF(separador &gt; 0, LEFT(E686,separador - 1), E686)</f>
        <v>Newburgh</v>
      </c>
      <c r="G686" t="str">
        <f>IF(separador &gt; 0, RIGHT(E686,largo -separador - 1),"-")</f>
        <v>NY 12550</v>
      </c>
      <c r="H686" t="s">
        <v>4451</v>
      </c>
      <c r="I686" t="s">
        <v>3454</v>
      </c>
      <c r="J686" s="2">
        <v>41534.801342592589</v>
      </c>
      <c r="K686" t="s">
        <v>3671</v>
      </c>
      <c r="M686">
        <f>IFERROR(FIND(",",E686),0)</f>
        <v>9</v>
      </c>
      <c r="N686">
        <f>LEN(E686)</f>
        <v>18</v>
      </c>
    </row>
    <row r="687" spans="1:14" outlineLevel="2" x14ac:dyDescent="0.3">
      <c r="A687" s="4" t="s">
        <v>5402</v>
      </c>
      <c r="B687" s="4" t="s">
        <v>730</v>
      </c>
      <c r="C687" s="12">
        <v>31903</v>
      </c>
      <c r="D687" s="4" t="s">
        <v>2287</v>
      </c>
      <c r="E687" s="4" t="s">
        <v>2288</v>
      </c>
      <c r="F687" s="4" t="str">
        <f>IF(separador &gt; 0, LEFT(E687,separador - 1), E687)</f>
        <v>3 Manor Road</v>
      </c>
      <c r="G687" s="4" t="str">
        <f>IF(separador &gt; 0, RIGHT(E687,largo -separador - 1),"-")</f>
        <v>-</v>
      </c>
      <c r="H687" s="4" t="s">
        <v>4398</v>
      </c>
      <c r="I687" s="4" t="s">
        <v>3405</v>
      </c>
      <c r="J687" s="13">
        <v>40959.533888888887</v>
      </c>
      <c r="K687" s="4" t="s">
        <v>3671</v>
      </c>
      <c r="M687" s="4">
        <f>IFERROR(FIND(",",E687),0)</f>
        <v>0</v>
      </c>
      <c r="N687" s="4">
        <f>LEN(E687)</f>
        <v>12</v>
      </c>
    </row>
    <row r="688" spans="1:14" outlineLevel="2" x14ac:dyDescent="0.3">
      <c r="A688" t="s">
        <v>4735</v>
      </c>
      <c r="B688" t="s">
        <v>63</v>
      </c>
      <c r="C688" s="1">
        <v>31885</v>
      </c>
      <c r="D688" t="s">
        <v>1120</v>
      </c>
      <c r="E688" t="s">
        <v>1121</v>
      </c>
      <c r="F688" t="str">
        <f>IF(separador &gt; 0, LEFT(E688,separador - 1), E688)</f>
        <v>EAST CENTRAL LONDON</v>
      </c>
      <c r="G688" t="str">
        <f>IF(separador &gt; 0, RIGHT(E688,largo -separador - 1),"-")</f>
        <v>-</v>
      </c>
      <c r="H688" t="s">
        <v>3731</v>
      </c>
      <c r="I688" t="s">
        <v>2749</v>
      </c>
      <c r="J688" s="2">
        <v>43461.374131944445</v>
      </c>
      <c r="K688" t="s">
        <v>3671</v>
      </c>
      <c r="M688">
        <f>IFERROR(FIND(",",E688),0)</f>
        <v>0</v>
      </c>
      <c r="N688">
        <f>LEN(E688)</f>
        <v>19</v>
      </c>
    </row>
    <row r="689" spans="1:14" outlineLevel="2" x14ac:dyDescent="0.3">
      <c r="A689" s="4" t="s">
        <v>5334</v>
      </c>
      <c r="B689" s="4" t="s">
        <v>662</v>
      </c>
      <c r="C689" s="12">
        <v>31871</v>
      </c>
      <c r="D689" s="4" t="s">
        <v>1960</v>
      </c>
      <c r="E689" s="4" t="s">
        <v>2198</v>
      </c>
      <c r="F689" s="4" t="str">
        <f>IF(separador &gt; 0, LEFT(E689,separador - 1), E689)</f>
        <v>SE32 0CN</v>
      </c>
      <c r="G689" s="4" t="str">
        <f>IF(separador &gt; 0, RIGHT(E689,largo -separador - 1),"-")</f>
        <v>-</v>
      </c>
      <c r="H689" s="4" t="s">
        <v>4330</v>
      </c>
      <c r="I689" s="4" t="s">
        <v>2818</v>
      </c>
      <c r="J689" s="13">
        <v>38844.930509259262</v>
      </c>
      <c r="K689" s="4" t="s">
        <v>3671</v>
      </c>
      <c r="M689" s="4">
        <f>IFERROR(FIND(",",E689),0)</f>
        <v>0</v>
      </c>
      <c r="N689" s="4">
        <f>LEN(E689)</f>
        <v>8</v>
      </c>
    </row>
    <row r="690" spans="1:14" outlineLevel="2" x14ac:dyDescent="0.3">
      <c r="A690" t="s">
        <v>4970</v>
      </c>
      <c r="B690" t="s">
        <v>298</v>
      </c>
      <c r="C690" s="1">
        <v>31777</v>
      </c>
      <c r="D690" t="s">
        <v>1590</v>
      </c>
      <c r="E690" t="s">
        <v>1591</v>
      </c>
      <c r="F690" t="str">
        <f>IF(separador &gt; 0, LEFT(E690,separador - 1), E690)</f>
        <v>672 Albany St.</v>
      </c>
      <c r="G690" t="str">
        <f>IF(separador &gt; 0, RIGHT(E690,largo -separador - 1),"-")</f>
        <v>-</v>
      </c>
      <c r="H690" t="s">
        <v>3966</v>
      </c>
      <c r="I690" t="s">
        <v>2980</v>
      </c>
      <c r="J690" s="2">
        <v>40764.772974537038</v>
      </c>
      <c r="K690" t="s">
        <v>3671</v>
      </c>
      <c r="M690">
        <f>IFERROR(FIND(",",E690),0)</f>
        <v>0</v>
      </c>
      <c r="N690">
        <f>LEN(E690)</f>
        <v>14</v>
      </c>
    </row>
    <row r="691" spans="1:14" outlineLevel="2" x14ac:dyDescent="0.3">
      <c r="A691" s="4" t="s">
        <v>5116</v>
      </c>
      <c r="B691" s="4" t="s">
        <v>444</v>
      </c>
      <c r="C691" s="12">
        <v>31613</v>
      </c>
      <c r="D691" s="4" t="s">
        <v>1881</v>
      </c>
      <c r="E691" s="4" t="s">
        <v>1882</v>
      </c>
      <c r="F691" s="4" t="str">
        <f>IF(separador &gt; 0, LEFT(E691,separador - 1), E691)</f>
        <v>485 S. Park St.</v>
      </c>
      <c r="G691" s="4" t="str">
        <f>IF(separador &gt; 0, RIGHT(E691,largo -separador - 1),"-")</f>
        <v>-</v>
      </c>
      <c r="H691" s="4" t="s">
        <v>4112</v>
      </c>
      <c r="I691" s="4" t="s">
        <v>3125</v>
      </c>
      <c r="J691" s="13">
        <v>41559.492581018516</v>
      </c>
      <c r="K691" s="4" t="s">
        <v>3671</v>
      </c>
      <c r="M691" s="4">
        <f>IFERROR(FIND(",",E691),0)</f>
        <v>0</v>
      </c>
      <c r="N691" s="4">
        <f>LEN(E691)</f>
        <v>15</v>
      </c>
    </row>
    <row r="692" spans="1:14" outlineLevel="2" x14ac:dyDescent="0.3">
      <c r="A692" t="s">
        <v>4717</v>
      </c>
      <c r="B692" t="s">
        <v>45</v>
      </c>
      <c r="C692" s="1">
        <v>31587</v>
      </c>
      <c r="D692" t="s">
        <v>1084</v>
      </c>
      <c r="E692" t="s">
        <v>1085</v>
      </c>
      <c r="F692" t="str">
        <f>IF(separador &gt; 0, LEFT(E692,separador - 1), E692)</f>
        <v>MILTON KEYNES</v>
      </c>
      <c r="G692" t="str">
        <f>IF(separador &gt; 0, RIGHT(E692,largo -separador - 1),"-")</f>
        <v>-</v>
      </c>
      <c r="H692" t="s">
        <v>3713</v>
      </c>
      <c r="I692" t="s">
        <v>2731</v>
      </c>
      <c r="J692" s="2">
        <v>40534.30332175926</v>
      </c>
      <c r="K692" t="s">
        <v>3671</v>
      </c>
      <c r="M692">
        <f>IFERROR(FIND(",",E692),0)</f>
        <v>0</v>
      </c>
      <c r="N692">
        <f>LEN(E692)</f>
        <v>13</v>
      </c>
    </row>
    <row r="693" spans="1:14" outlineLevel="2" x14ac:dyDescent="0.3">
      <c r="A693" s="4" t="s">
        <v>5445</v>
      </c>
      <c r="B693" s="4" t="s">
        <v>773</v>
      </c>
      <c r="C693" s="12">
        <v>31574</v>
      </c>
      <c r="D693" s="4" t="s">
        <v>2349</v>
      </c>
      <c r="E693" s="4" t="s">
        <v>2350</v>
      </c>
      <c r="F693" s="4" t="str">
        <f>IF(separador &gt; 0, LEFT(E693,separador - 1), E693)</f>
        <v>New York</v>
      </c>
      <c r="G693" s="4" t="str">
        <f>IF(separador &gt; 0, RIGHT(E693,largo -separador - 1),"-")</f>
        <v>NY 10023</v>
      </c>
      <c r="H693" s="4" t="s">
        <v>4441</v>
      </c>
      <c r="I693" s="4" t="s">
        <v>3445</v>
      </c>
      <c r="J693" s="13">
        <v>43569.197800925926</v>
      </c>
      <c r="K693" s="4" t="s">
        <v>3671</v>
      </c>
      <c r="M693" s="4">
        <f>IFERROR(FIND(",",E693),0)</f>
        <v>9</v>
      </c>
      <c r="N693" s="4">
        <f>LEN(E693)</f>
        <v>18</v>
      </c>
    </row>
    <row r="694" spans="1:14" outlineLevel="2" x14ac:dyDescent="0.3">
      <c r="A694" t="s">
        <v>5672</v>
      </c>
      <c r="B694" t="s">
        <v>1000</v>
      </c>
      <c r="C694" s="1">
        <v>31554</v>
      </c>
      <c r="D694" t="s">
        <v>2687</v>
      </c>
      <c r="E694" t="s">
        <v>2522</v>
      </c>
      <c r="F694" t="str">
        <f>IF(separador &gt; 0, LEFT(E694,separador - 1), E694)</f>
        <v>New York</v>
      </c>
      <c r="G694" t="str">
        <f>IF(separador &gt; 0, RIGHT(E694,largo -separador - 1),"-")</f>
        <v>NY 10016</v>
      </c>
      <c r="H694" t="s">
        <v>4668</v>
      </c>
      <c r="I694" t="s">
        <v>3664</v>
      </c>
      <c r="J694" s="2">
        <v>39493.921851851854</v>
      </c>
      <c r="K694" t="s">
        <v>3671</v>
      </c>
      <c r="M694">
        <f>IFERROR(FIND(",",E694),0)</f>
        <v>9</v>
      </c>
      <c r="N694">
        <f>LEN(E694)</f>
        <v>18</v>
      </c>
    </row>
    <row r="695" spans="1:14" outlineLevel="2" x14ac:dyDescent="0.3">
      <c r="A695" s="4" t="s">
        <v>5045</v>
      </c>
      <c r="B695" s="4" t="s">
        <v>373</v>
      </c>
      <c r="C695" s="12">
        <v>31524</v>
      </c>
      <c r="D695" s="4" t="s">
        <v>1740</v>
      </c>
      <c r="E695" s="4" t="s">
        <v>1741</v>
      </c>
      <c r="F695" s="4" t="str">
        <f>IF(separador &gt; 0, LEFT(E695,separador - 1), E695)</f>
        <v>49 Colonial Street</v>
      </c>
      <c r="G695" s="4" t="str">
        <f>IF(separador &gt; 0, RIGHT(E695,largo -separador - 1),"-")</f>
        <v>-</v>
      </c>
      <c r="H695" s="4" t="s">
        <v>4041</v>
      </c>
      <c r="I695" s="4" t="s">
        <v>3055</v>
      </c>
      <c r="J695" s="13">
        <v>42996.823703703703</v>
      </c>
      <c r="K695" s="4" t="s">
        <v>3671</v>
      </c>
      <c r="M695" s="4">
        <f>IFERROR(FIND(",",E695),0)</f>
        <v>0</v>
      </c>
      <c r="N695" s="4">
        <f>LEN(E695)</f>
        <v>18</v>
      </c>
    </row>
    <row r="696" spans="1:14" outlineLevel="2" x14ac:dyDescent="0.3">
      <c r="A696" t="s">
        <v>5644</v>
      </c>
      <c r="B696" t="s">
        <v>972</v>
      </c>
      <c r="C696" s="1">
        <v>31242</v>
      </c>
      <c r="D696" t="s">
        <v>2659</v>
      </c>
      <c r="E696" t="s">
        <v>2462</v>
      </c>
      <c r="F696" t="str">
        <f>IF(separador &gt; 0, LEFT(E696,separador - 1), E696)</f>
        <v>New York</v>
      </c>
      <c r="G696" t="str">
        <f>IF(separador &gt; 0, RIGHT(E696,largo -separador - 1),"-")</f>
        <v>NY 10033</v>
      </c>
      <c r="H696" t="s">
        <v>4640</v>
      </c>
      <c r="I696" t="s">
        <v>3638</v>
      </c>
      <c r="J696" s="2">
        <v>38760.209363425929</v>
      </c>
      <c r="K696" t="s">
        <v>3671</v>
      </c>
      <c r="M696">
        <f>IFERROR(FIND(",",E696),0)</f>
        <v>9</v>
      </c>
      <c r="N696">
        <f>LEN(E696)</f>
        <v>18</v>
      </c>
    </row>
    <row r="697" spans="1:14" outlineLevel="2" x14ac:dyDescent="0.3">
      <c r="A697" s="4" t="s">
        <v>5540</v>
      </c>
      <c r="B697" s="4" t="s">
        <v>868</v>
      </c>
      <c r="C697" s="12">
        <v>31240</v>
      </c>
      <c r="D697" s="4" t="s">
        <v>2537</v>
      </c>
      <c r="E697" s="4" t="s">
        <v>2538</v>
      </c>
      <c r="F697" s="4" t="str">
        <f>IF(separador &gt; 0, LEFT(E697,separador - 1), E697)</f>
        <v>Auburn</v>
      </c>
      <c r="G697" s="4" t="str">
        <f>IF(separador &gt; 0, RIGHT(E697,largo -separador - 1),"-")</f>
        <v>NY 13021</v>
      </c>
      <c r="H697" s="4" t="s">
        <v>4536</v>
      </c>
      <c r="I697" s="4" t="s">
        <v>3538</v>
      </c>
      <c r="J697" s="13">
        <v>43724.427997685183</v>
      </c>
      <c r="K697" s="4" t="s">
        <v>3671</v>
      </c>
      <c r="M697" s="4">
        <f>IFERROR(FIND(",",E697),0)</f>
        <v>7</v>
      </c>
      <c r="N697" s="4">
        <f>LEN(E697)</f>
        <v>16</v>
      </c>
    </row>
    <row r="698" spans="1:14" outlineLevel="2" x14ac:dyDescent="0.3">
      <c r="A698" t="s">
        <v>5174</v>
      </c>
      <c r="B698" t="s">
        <v>502</v>
      </c>
      <c r="C698" s="1">
        <v>31169</v>
      </c>
      <c r="D698" t="s">
        <v>1985</v>
      </c>
      <c r="E698" t="s">
        <v>1986</v>
      </c>
      <c r="F698" t="str">
        <f>IF(separador &gt; 0, LEFT(E698,separador - 1), E698)</f>
        <v>74 High Street</v>
      </c>
      <c r="G698" t="str">
        <f>IF(separador &gt; 0, RIGHT(E698,largo -separador - 1),"-")</f>
        <v>-</v>
      </c>
      <c r="H698" t="s">
        <v>4170</v>
      </c>
      <c r="I698" t="s">
        <v>3182</v>
      </c>
      <c r="J698" s="2">
        <v>42501.584699074076</v>
      </c>
      <c r="K698" t="s">
        <v>3671</v>
      </c>
      <c r="M698">
        <f>IFERROR(FIND(",",E698),0)</f>
        <v>0</v>
      </c>
      <c r="N698">
        <f>LEN(E698)</f>
        <v>14</v>
      </c>
    </row>
    <row r="699" spans="1:14" outlineLevel="2" x14ac:dyDescent="0.3">
      <c r="A699" s="4" t="s">
        <v>5361</v>
      </c>
      <c r="B699" s="4" t="s">
        <v>689</v>
      </c>
      <c r="C699" s="12">
        <v>31019</v>
      </c>
      <c r="D699" s="4" t="s">
        <v>1960</v>
      </c>
      <c r="E699" s="4" t="s">
        <v>2234</v>
      </c>
      <c r="F699" s="4" t="str">
        <f>IF(separador &gt; 0, LEFT(E699,separador - 1), E699)</f>
        <v>SW63 0GX</v>
      </c>
      <c r="G699" s="4" t="str">
        <f>IF(separador &gt; 0, RIGHT(E699,largo -separador - 1),"-")</f>
        <v>-</v>
      </c>
      <c r="H699" s="4" t="s">
        <v>4357</v>
      </c>
      <c r="I699" s="4" t="s">
        <v>3365</v>
      </c>
      <c r="J699" s="13">
        <v>40194.405706018515</v>
      </c>
      <c r="K699" s="4" t="s">
        <v>3671</v>
      </c>
      <c r="M699" s="4">
        <f>IFERROR(FIND(",",E699),0)</f>
        <v>0</v>
      </c>
      <c r="N699" s="4">
        <f>LEN(E699)</f>
        <v>8</v>
      </c>
    </row>
    <row r="700" spans="1:14" outlineLevel="2" x14ac:dyDescent="0.3">
      <c r="A700" t="s">
        <v>5437</v>
      </c>
      <c r="B700" t="s">
        <v>765</v>
      </c>
      <c r="C700" s="1">
        <v>30932</v>
      </c>
      <c r="D700" t="s">
        <v>2333</v>
      </c>
      <c r="E700" t="s">
        <v>2334</v>
      </c>
      <c r="F700" t="str">
        <f>IF(separador &gt; 0, LEFT(E700,separador - 1), E700)</f>
        <v>New York</v>
      </c>
      <c r="G700" t="str">
        <f>IF(separador &gt; 0, RIGHT(E700,largo -separador - 1),"-")</f>
        <v>NY 10011</v>
      </c>
      <c r="H700" t="s">
        <v>4433</v>
      </c>
      <c r="I700" t="s">
        <v>3437</v>
      </c>
      <c r="J700" s="2">
        <v>40181.425254629627</v>
      </c>
      <c r="K700" t="s">
        <v>3671</v>
      </c>
      <c r="M700">
        <f>IFERROR(FIND(",",E700),0)</f>
        <v>9</v>
      </c>
      <c r="N700">
        <f>LEN(E700)</f>
        <v>18</v>
      </c>
    </row>
    <row r="701" spans="1:14" outlineLevel="2" x14ac:dyDescent="0.3">
      <c r="A701" s="4" t="s">
        <v>5335</v>
      </c>
      <c r="B701" s="4" t="s">
        <v>663</v>
      </c>
      <c r="C701" s="12">
        <v>30891</v>
      </c>
      <c r="D701" s="4" t="s">
        <v>2199</v>
      </c>
      <c r="E701" s="4" t="s">
        <v>1960</v>
      </c>
      <c r="F701" s="4" t="str">
        <f>IF(separador &gt; 0, LEFT(E701,separador - 1), E701)</f>
        <v>London</v>
      </c>
      <c r="G701" s="4" t="str">
        <f>IF(separador &gt; 0, RIGHT(E701,largo -separador - 1),"-")</f>
        <v>-</v>
      </c>
      <c r="H701" s="4" t="s">
        <v>4331</v>
      </c>
      <c r="I701" s="4" t="s">
        <v>3339</v>
      </c>
      <c r="J701" s="13">
        <v>39060.987662037034</v>
      </c>
      <c r="K701" s="4" t="s">
        <v>3671</v>
      </c>
      <c r="M701" s="4">
        <f>IFERROR(FIND(",",E701),0)</f>
        <v>0</v>
      </c>
      <c r="N701" s="4">
        <f>LEN(E701)</f>
        <v>6</v>
      </c>
    </row>
    <row r="702" spans="1:14" outlineLevel="2" x14ac:dyDescent="0.3">
      <c r="A702" t="s">
        <v>5337</v>
      </c>
      <c r="B702" t="s">
        <v>665</v>
      </c>
      <c r="C702" s="1">
        <v>30865</v>
      </c>
      <c r="D702" t="s">
        <v>1960</v>
      </c>
      <c r="E702" t="s">
        <v>2202</v>
      </c>
      <c r="F702" t="str">
        <f>IF(separador &gt; 0, LEFT(E702,separador - 1), E702)</f>
        <v>WC75 0HJ</v>
      </c>
      <c r="G702" t="str">
        <f>IF(separador &gt; 0, RIGHT(E702,largo -separador - 1),"-")</f>
        <v>-</v>
      </c>
      <c r="H702" t="s">
        <v>4333</v>
      </c>
      <c r="I702" t="s">
        <v>3341</v>
      </c>
      <c r="J702" s="2">
        <v>42168.551574074074</v>
      </c>
      <c r="K702" t="s">
        <v>3671</v>
      </c>
      <c r="M702">
        <f>IFERROR(FIND(",",E702),0)</f>
        <v>0</v>
      </c>
      <c r="N702">
        <f>LEN(E702)</f>
        <v>8</v>
      </c>
    </row>
    <row r="703" spans="1:14" outlineLevel="2" x14ac:dyDescent="0.3">
      <c r="A703" s="4" t="s">
        <v>5486</v>
      </c>
      <c r="B703" s="4" t="s">
        <v>814</v>
      </c>
      <c r="C703" s="12">
        <v>30828</v>
      </c>
      <c r="D703" s="4" t="s">
        <v>2430</v>
      </c>
      <c r="E703" s="4" t="s">
        <v>2431</v>
      </c>
      <c r="F703" s="4" t="str">
        <f>IF(separador &gt; 0, LEFT(E703,separador - 1), E703)</f>
        <v>Bronx</v>
      </c>
      <c r="G703" s="4" t="str">
        <f>IF(separador &gt; 0, RIGHT(E703,largo -separador - 1),"-")</f>
        <v>NY 10451</v>
      </c>
      <c r="H703" s="4" t="s">
        <v>4482</v>
      </c>
      <c r="I703" s="4" t="s">
        <v>3485</v>
      </c>
      <c r="J703" s="13">
        <v>41171.256562499999</v>
      </c>
      <c r="K703" s="4" t="s">
        <v>3671</v>
      </c>
      <c r="M703" s="4">
        <f>IFERROR(FIND(",",E703),0)</f>
        <v>6</v>
      </c>
      <c r="N703" s="4">
        <f>LEN(E703)</f>
        <v>15</v>
      </c>
    </row>
    <row r="704" spans="1:14" outlineLevel="2" x14ac:dyDescent="0.3">
      <c r="A704" t="s">
        <v>4681</v>
      </c>
      <c r="B704" t="s">
        <v>9</v>
      </c>
      <c r="C704" s="1">
        <v>30816</v>
      </c>
      <c r="D704" t="s">
        <v>1012</v>
      </c>
      <c r="E704" t="s">
        <v>1013</v>
      </c>
      <c r="F704" t="str">
        <f>IF(separador &gt; 0, LEFT(E704,separador - 1), E704)</f>
        <v>Billings</v>
      </c>
      <c r="G704" t="str">
        <f>IF(separador &gt; 0, RIGHT(E704,largo -separador - 1),"-")</f>
        <v>MT 59101</v>
      </c>
      <c r="H704" t="s">
        <v>3677</v>
      </c>
      <c r="I704" t="s">
        <v>2695</v>
      </c>
      <c r="J704" s="2">
        <v>39627.290347222224</v>
      </c>
      <c r="K704" t="s">
        <v>3671</v>
      </c>
      <c r="M704">
        <f>IFERROR(FIND(",",E704),0)</f>
        <v>9</v>
      </c>
      <c r="N704">
        <f>LEN(E704)</f>
        <v>18</v>
      </c>
    </row>
    <row r="705" spans="1:14" outlineLevel="2" x14ac:dyDescent="0.3">
      <c r="A705" s="4" t="s">
        <v>5366</v>
      </c>
      <c r="B705" s="4" t="s">
        <v>694</v>
      </c>
      <c r="C705" s="12">
        <v>30775</v>
      </c>
      <c r="D705" s="4" t="s">
        <v>2240</v>
      </c>
      <c r="E705" s="4" t="s">
        <v>2241</v>
      </c>
      <c r="F705" s="4" t="str">
        <f>IF(separador &gt; 0, LEFT(E705,separador - 1), E705)</f>
        <v>9633 Highfield Road</v>
      </c>
      <c r="G705" s="4" t="str">
        <f>IF(separador &gt; 0, RIGHT(E705,largo -separador - 1),"-")</f>
        <v>-</v>
      </c>
      <c r="H705" s="4" t="s">
        <v>4362</v>
      </c>
      <c r="I705" s="4" t="s">
        <v>3370</v>
      </c>
      <c r="J705" s="13">
        <v>43393.850185185183</v>
      </c>
      <c r="K705" s="4" t="s">
        <v>3671</v>
      </c>
      <c r="M705" s="4">
        <f>IFERROR(FIND(",",E705),0)</f>
        <v>0</v>
      </c>
      <c r="N705" s="4">
        <f>LEN(E705)</f>
        <v>19</v>
      </c>
    </row>
    <row r="706" spans="1:14" outlineLevel="2" x14ac:dyDescent="0.3">
      <c r="A706" t="s">
        <v>5428</v>
      </c>
      <c r="B706" t="s">
        <v>756</v>
      </c>
      <c r="C706" s="1">
        <v>30769</v>
      </c>
      <c r="D706" t="s">
        <v>2322</v>
      </c>
      <c r="E706" t="s">
        <v>1960</v>
      </c>
      <c r="F706" t="str">
        <f>IF(separador &gt; 0, LEFT(E706,separador - 1), E706)</f>
        <v>London</v>
      </c>
      <c r="G706" t="str">
        <f>IF(separador &gt; 0, RIGHT(E706,largo -separador - 1),"-")</f>
        <v>-</v>
      </c>
      <c r="H706" t="s">
        <v>4424</v>
      </c>
      <c r="I706" t="s">
        <v>3429</v>
      </c>
      <c r="J706" s="2">
        <v>40729.800034722219</v>
      </c>
      <c r="K706" t="s">
        <v>3671</v>
      </c>
      <c r="M706">
        <f>IFERROR(FIND(",",E706),0)</f>
        <v>0</v>
      </c>
      <c r="N706">
        <f>LEN(E706)</f>
        <v>6</v>
      </c>
    </row>
    <row r="707" spans="1:14" outlineLevel="2" x14ac:dyDescent="0.3">
      <c r="A707" s="4" t="s">
        <v>5015</v>
      </c>
      <c r="B707" s="4" t="s">
        <v>343</v>
      </c>
      <c r="C707" s="12">
        <v>30670</v>
      </c>
      <c r="D707" s="4" t="s">
        <v>1680</v>
      </c>
      <c r="E707" s="4" t="s">
        <v>1681</v>
      </c>
      <c r="F707" s="4" t="str">
        <f>IF(separador &gt; 0, LEFT(E707,separador - 1), E707)</f>
        <v>880 Mayfair St.</v>
      </c>
      <c r="G707" s="4" t="str">
        <f>IF(separador &gt; 0, RIGHT(E707,largo -separador - 1),"-")</f>
        <v>-</v>
      </c>
      <c r="H707" s="4" t="s">
        <v>4011</v>
      </c>
      <c r="I707" s="4" t="s">
        <v>3025</v>
      </c>
      <c r="J707" s="13">
        <v>40882.152013888888</v>
      </c>
      <c r="K707" s="4" t="s">
        <v>3671</v>
      </c>
      <c r="M707" s="4">
        <f>IFERROR(FIND(",",E707),0)</f>
        <v>0</v>
      </c>
      <c r="N707" s="4">
        <f>LEN(E707)</f>
        <v>15</v>
      </c>
    </row>
    <row r="708" spans="1:14" outlineLevel="2" x14ac:dyDescent="0.3">
      <c r="A708" t="s">
        <v>5220</v>
      </c>
      <c r="B708" t="s">
        <v>548</v>
      </c>
      <c r="C708" s="1">
        <v>30611</v>
      </c>
      <c r="D708" t="s">
        <v>1960</v>
      </c>
      <c r="E708" t="s">
        <v>2046</v>
      </c>
      <c r="F708" t="str">
        <f>IF(separador &gt; 0, LEFT(E708,separador - 1), E708)</f>
        <v>SE98 6GP</v>
      </c>
      <c r="G708" t="str">
        <f>IF(separador &gt; 0, RIGHT(E708,largo -separador - 1),"-")</f>
        <v>-</v>
      </c>
      <c r="H708" t="s">
        <v>4216</v>
      </c>
      <c r="I708" t="s">
        <v>3228</v>
      </c>
      <c r="J708" s="2">
        <v>39665.307303240741</v>
      </c>
      <c r="K708" t="s">
        <v>3671</v>
      </c>
      <c r="M708">
        <f>IFERROR(FIND(",",E708),0)</f>
        <v>0</v>
      </c>
      <c r="N708">
        <f>LEN(E708)</f>
        <v>8</v>
      </c>
    </row>
    <row r="709" spans="1:14" outlineLevel="2" x14ac:dyDescent="0.3">
      <c r="A709" s="4" t="s">
        <v>5358</v>
      </c>
      <c r="B709" s="4" t="s">
        <v>686</v>
      </c>
      <c r="C709" s="12">
        <v>30501</v>
      </c>
      <c r="D709" s="4" t="s">
        <v>1960</v>
      </c>
      <c r="E709" s="4" t="s">
        <v>2230</v>
      </c>
      <c r="F709" s="4" t="str">
        <f>IF(separador &gt; 0, LEFT(E709,separador - 1), E709)</f>
        <v>N74 6MB</v>
      </c>
      <c r="G709" s="4" t="str">
        <f>IF(separador &gt; 0, RIGHT(E709,largo -separador - 1),"-")</f>
        <v>-</v>
      </c>
      <c r="H709" s="4" t="s">
        <v>4354</v>
      </c>
      <c r="I709" s="4" t="s">
        <v>3362</v>
      </c>
      <c r="J709" s="13">
        <v>39117.768773148149</v>
      </c>
      <c r="K709" s="4" t="s">
        <v>3671</v>
      </c>
      <c r="M709" s="4">
        <f>IFERROR(FIND(",",E709),0)</f>
        <v>0</v>
      </c>
      <c r="N709" s="4">
        <f>LEN(E709)</f>
        <v>7</v>
      </c>
    </row>
    <row r="710" spans="1:14" outlineLevel="2" x14ac:dyDescent="0.3">
      <c r="A710" t="s">
        <v>4963</v>
      </c>
      <c r="B710" t="s">
        <v>291</v>
      </c>
      <c r="C710" s="1">
        <v>30490</v>
      </c>
      <c r="D710" t="s">
        <v>1576</v>
      </c>
      <c r="E710" t="s">
        <v>1577</v>
      </c>
      <c r="F710" t="str">
        <f>IF(separador &gt; 0, LEFT(E710,separador - 1), E710)</f>
        <v>334 Mechanic Lane</v>
      </c>
      <c r="G710" t="str">
        <f>IF(separador &gt; 0, RIGHT(E710,largo -separador - 1),"-")</f>
        <v>-</v>
      </c>
      <c r="H710" t="s">
        <v>3959</v>
      </c>
      <c r="I710" t="s">
        <v>2974</v>
      </c>
      <c r="J710" s="2">
        <v>38515.100057870368</v>
      </c>
      <c r="K710" t="s">
        <v>3671</v>
      </c>
      <c r="M710">
        <f>IFERROR(FIND(",",E710),0)</f>
        <v>0</v>
      </c>
      <c r="N710">
        <f>LEN(E710)</f>
        <v>17</v>
      </c>
    </row>
    <row r="711" spans="1:14" outlineLevel="2" x14ac:dyDescent="0.3">
      <c r="A711" s="4" t="s">
        <v>4794</v>
      </c>
      <c r="B711" s="4" t="s">
        <v>122</v>
      </c>
      <c r="C711" s="12">
        <v>30407</v>
      </c>
      <c r="D711" s="4" t="s">
        <v>1238</v>
      </c>
      <c r="E711" s="4" t="s">
        <v>1239</v>
      </c>
      <c r="F711" s="4" t="str">
        <f>IF(separador &gt; 0, LEFT(E711,separador - 1), E711)</f>
        <v>Huntington Beach</v>
      </c>
      <c r="G711" s="4" t="str">
        <f>IF(separador &gt; 0, RIGHT(E711,largo -separador - 1),"-")</f>
        <v>CA 92647</v>
      </c>
      <c r="H711" s="4" t="s">
        <v>3790</v>
      </c>
      <c r="I711" s="4" t="s">
        <v>2808</v>
      </c>
      <c r="J711" s="13">
        <v>44155.691666666666</v>
      </c>
      <c r="K711" s="4" t="s">
        <v>3671</v>
      </c>
      <c r="M711" s="4">
        <f>IFERROR(FIND(",",E711),0)</f>
        <v>17</v>
      </c>
      <c r="N711" s="4">
        <f>LEN(E711)</f>
        <v>26</v>
      </c>
    </row>
    <row r="712" spans="1:14" outlineLevel="2" x14ac:dyDescent="0.3">
      <c r="A712" t="s">
        <v>4943</v>
      </c>
      <c r="B712" t="s">
        <v>271</v>
      </c>
      <c r="C712" s="1">
        <v>30405</v>
      </c>
      <c r="D712" t="s">
        <v>1536</v>
      </c>
      <c r="E712" t="s">
        <v>1537</v>
      </c>
      <c r="F712" t="str">
        <f>IF(separador &gt; 0, LEFT(E712,separador - 1), E712)</f>
        <v>9451 Stonybrook Court</v>
      </c>
      <c r="G712" t="str">
        <f>IF(separador &gt; 0, RIGHT(E712,largo -separador - 1),"-")</f>
        <v>-</v>
      </c>
      <c r="H712" t="s">
        <v>3939</v>
      </c>
      <c r="I712" t="s">
        <v>2954</v>
      </c>
      <c r="J712" s="2">
        <v>38560.231388888889</v>
      </c>
      <c r="K712" t="s">
        <v>3671</v>
      </c>
      <c r="M712">
        <f>IFERROR(FIND(",",E712),0)</f>
        <v>0</v>
      </c>
      <c r="N712">
        <f>LEN(E712)</f>
        <v>21</v>
      </c>
    </row>
    <row r="713" spans="1:14" outlineLevel="2" x14ac:dyDescent="0.3">
      <c r="A713" s="4" t="s">
        <v>5164</v>
      </c>
      <c r="B713" s="4" t="s">
        <v>492</v>
      </c>
      <c r="C713" s="12">
        <v>30260</v>
      </c>
      <c r="D713" s="4" t="s">
        <v>1972</v>
      </c>
      <c r="E713" s="4" t="s">
        <v>1960</v>
      </c>
      <c r="F713" s="4" t="str">
        <f>IF(separador &gt; 0, LEFT(E713,separador - 1), E713)</f>
        <v>London</v>
      </c>
      <c r="G713" s="4" t="str">
        <f>IF(separador &gt; 0, RIGHT(E713,largo -separador - 1),"-")</f>
        <v>-</v>
      </c>
      <c r="H713" s="4" t="s">
        <v>4160</v>
      </c>
      <c r="I713" s="4" t="s">
        <v>3172</v>
      </c>
      <c r="J713" s="13">
        <v>40637.337731481479</v>
      </c>
      <c r="K713" s="4" t="s">
        <v>3671</v>
      </c>
      <c r="M713" s="4">
        <f>IFERROR(FIND(",",E713),0)</f>
        <v>0</v>
      </c>
      <c r="N713" s="4">
        <f>LEN(E713)</f>
        <v>6</v>
      </c>
    </row>
    <row r="714" spans="1:14" outlineLevel="2" x14ac:dyDescent="0.3">
      <c r="A714" t="s">
        <v>4783</v>
      </c>
      <c r="B714" t="s">
        <v>111</v>
      </c>
      <c r="C714" s="1">
        <v>30250</v>
      </c>
      <c r="D714" t="s">
        <v>1216</v>
      </c>
      <c r="E714" t="s">
        <v>1217</v>
      </c>
      <c r="F714" t="str">
        <f>IF(separador &gt; 0, LEFT(E714,separador - 1), E714)</f>
        <v>LEICESTER</v>
      </c>
      <c r="G714" t="str">
        <f>IF(separador &gt; 0, RIGHT(E714,largo -separador - 1),"-")</f>
        <v>-</v>
      </c>
      <c r="H714" t="s">
        <v>3779</v>
      </c>
      <c r="I714" t="s">
        <v>2797</v>
      </c>
      <c r="J714" s="2">
        <v>41565.198287037034</v>
      </c>
      <c r="K714" t="s">
        <v>3671</v>
      </c>
      <c r="M714">
        <f>IFERROR(FIND(",",E714),0)</f>
        <v>0</v>
      </c>
      <c r="N714">
        <f>LEN(E714)</f>
        <v>9</v>
      </c>
    </row>
    <row r="715" spans="1:14" outlineLevel="2" x14ac:dyDescent="0.3">
      <c r="A715" s="4" t="s">
        <v>5394</v>
      </c>
      <c r="B715" s="4" t="s">
        <v>722</v>
      </c>
      <c r="C715" s="12">
        <v>30247</v>
      </c>
      <c r="D715" s="4" t="s">
        <v>1960</v>
      </c>
      <c r="E715" s="4" t="s">
        <v>2277</v>
      </c>
      <c r="F715" s="4" t="str">
        <f>IF(separador &gt; 0, LEFT(E715,separador - 1), E715)</f>
        <v>W96 5MH</v>
      </c>
      <c r="G715" s="4" t="str">
        <f>IF(separador &gt; 0, RIGHT(E715,largo -separador - 1),"-")</f>
        <v>-</v>
      </c>
      <c r="H715" s="4" t="s">
        <v>4390</v>
      </c>
      <c r="I715" s="4" t="s">
        <v>3397</v>
      </c>
      <c r="J715" s="13">
        <v>43371.163634259261</v>
      </c>
      <c r="K715" s="4" t="s">
        <v>3671</v>
      </c>
      <c r="M715" s="4">
        <f>IFERROR(FIND(",",E715),0)</f>
        <v>0</v>
      </c>
      <c r="N715" s="4">
        <f>LEN(E715)</f>
        <v>7</v>
      </c>
    </row>
    <row r="716" spans="1:14" outlineLevel="2" x14ac:dyDescent="0.3">
      <c r="A716" t="s">
        <v>5317</v>
      </c>
      <c r="B716" t="s">
        <v>645</v>
      </c>
      <c r="C716" s="1">
        <v>30018</v>
      </c>
      <c r="D716" t="s">
        <v>2175</v>
      </c>
      <c r="E716" t="s">
        <v>1960</v>
      </c>
      <c r="F716" t="str">
        <f>IF(separador &gt; 0, LEFT(E716,separador - 1), E716)</f>
        <v>London</v>
      </c>
      <c r="G716" t="str">
        <f>IF(separador &gt; 0, RIGHT(E716,largo -separador - 1),"-")</f>
        <v>-</v>
      </c>
      <c r="H716" t="s">
        <v>4313</v>
      </c>
      <c r="I716" t="s">
        <v>3322</v>
      </c>
      <c r="J716" s="2">
        <v>42667.532164351855</v>
      </c>
      <c r="K716" t="s">
        <v>3671</v>
      </c>
      <c r="M716">
        <f>IFERROR(FIND(",",E716),0)</f>
        <v>0</v>
      </c>
      <c r="N716">
        <f>LEN(E716)</f>
        <v>6</v>
      </c>
    </row>
    <row r="717" spans="1:14" outlineLevel="2" x14ac:dyDescent="0.3">
      <c r="A717" s="4" t="s">
        <v>4846</v>
      </c>
      <c r="B717" s="4" t="s">
        <v>174</v>
      </c>
      <c r="C717" s="12">
        <v>29942</v>
      </c>
      <c r="D717" s="4" t="s">
        <v>1342</v>
      </c>
      <c r="E717" s="4" t="s">
        <v>1343</v>
      </c>
      <c r="F717" s="4" t="str">
        <f>IF(separador &gt; 0, LEFT(E717,separador - 1), E717)</f>
        <v>Oxnard</v>
      </c>
      <c r="G717" s="4" t="str">
        <f>IF(separador &gt; 0, RIGHT(E717,largo -separador - 1),"-")</f>
        <v>CA 93033</v>
      </c>
      <c r="H717" s="4" t="s">
        <v>3842</v>
      </c>
      <c r="I717" s="4" t="s">
        <v>2859</v>
      </c>
      <c r="J717" s="13">
        <v>41048.376261574071</v>
      </c>
      <c r="K717" s="4" t="s">
        <v>3671</v>
      </c>
      <c r="M717" s="4">
        <f>IFERROR(FIND(",",E717),0)</f>
        <v>7</v>
      </c>
      <c r="N717" s="4">
        <f>LEN(E717)</f>
        <v>16</v>
      </c>
    </row>
    <row r="718" spans="1:14" outlineLevel="2" x14ac:dyDescent="0.3">
      <c r="A718" t="s">
        <v>5556</v>
      </c>
      <c r="B718" t="s">
        <v>884</v>
      </c>
      <c r="C718" s="1">
        <v>29840</v>
      </c>
      <c r="D718" t="s">
        <v>2569</v>
      </c>
      <c r="E718" t="s">
        <v>2570</v>
      </c>
      <c r="F718" t="str">
        <f>IF(separador &gt; 0, LEFT(E718,separador - 1), E718)</f>
        <v>Astoria</v>
      </c>
      <c r="G718" t="str">
        <f>IF(separador &gt; 0, RIGHT(E718,largo -separador - 1),"-")</f>
        <v>NY 11103</v>
      </c>
      <c r="H718" t="s">
        <v>4552</v>
      </c>
      <c r="I718" t="s">
        <v>3554</v>
      </c>
      <c r="J718" s="2">
        <v>40478.042071759257</v>
      </c>
      <c r="K718" t="s">
        <v>3671</v>
      </c>
      <c r="M718">
        <f>IFERROR(FIND(",",E718),0)</f>
        <v>8</v>
      </c>
      <c r="N718">
        <f>LEN(E718)</f>
        <v>17</v>
      </c>
    </row>
    <row r="719" spans="1:14" outlineLevel="2" x14ac:dyDescent="0.3">
      <c r="A719" s="4" t="s">
        <v>5507</v>
      </c>
      <c r="B719" s="4" t="s">
        <v>835</v>
      </c>
      <c r="C719" s="12">
        <v>29778</v>
      </c>
      <c r="D719" s="4" t="s">
        <v>2471</v>
      </c>
      <c r="E719" s="4" t="s">
        <v>2472</v>
      </c>
      <c r="F719" s="4" t="str">
        <f>IF(separador &gt; 0, LEFT(E719,separador - 1), E719)</f>
        <v>New York</v>
      </c>
      <c r="G719" s="4" t="str">
        <f>IF(separador &gt; 0, RIGHT(E719,largo -separador - 1),"-")</f>
        <v>NY 10027</v>
      </c>
      <c r="H719" s="4" t="s">
        <v>4503</v>
      </c>
      <c r="I719" s="4" t="s">
        <v>3506</v>
      </c>
      <c r="J719" s="13">
        <v>43566.589537037034</v>
      </c>
      <c r="K719" s="4" t="s">
        <v>3671</v>
      </c>
      <c r="M719" s="4">
        <f>IFERROR(FIND(",",E719),0)</f>
        <v>9</v>
      </c>
      <c r="N719" s="4">
        <f>LEN(E719)</f>
        <v>18</v>
      </c>
    </row>
    <row r="720" spans="1:14" outlineLevel="2" x14ac:dyDescent="0.3">
      <c r="A720" t="s">
        <v>5444</v>
      </c>
      <c r="B720" t="s">
        <v>772</v>
      </c>
      <c r="C720" s="1">
        <v>29707</v>
      </c>
      <c r="D720" t="s">
        <v>2347</v>
      </c>
      <c r="E720" t="s">
        <v>2348</v>
      </c>
      <c r="F720" t="str">
        <f>IF(separador &gt; 0, LEFT(E720,separador - 1), E720)</f>
        <v>Bronx</v>
      </c>
      <c r="G720" t="str">
        <f>IF(separador &gt; 0, RIGHT(E720,largo -separador - 1),"-")</f>
        <v>NY 10463</v>
      </c>
      <c r="H720" t="s">
        <v>4440</v>
      </c>
      <c r="I720" t="s">
        <v>3444</v>
      </c>
      <c r="J720" s="2">
        <v>43223.985127314816</v>
      </c>
      <c r="K720" t="s">
        <v>3671</v>
      </c>
      <c r="M720">
        <f>IFERROR(FIND(",",E720),0)</f>
        <v>6</v>
      </c>
      <c r="N720">
        <f>LEN(E720)</f>
        <v>15</v>
      </c>
    </row>
    <row r="721" spans="1:14" outlineLevel="2" x14ac:dyDescent="0.3">
      <c r="A721" s="4" t="s">
        <v>5397</v>
      </c>
      <c r="B721" s="4" t="s">
        <v>725</v>
      </c>
      <c r="C721" s="12">
        <v>29702</v>
      </c>
      <c r="D721" s="4" t="s">
        <v>1960</v>
      </c>
      <c r="E721" s="4" t="s">
        <v>2281</v>
      </c>
      <c r="F721" s="4" t="str">
        <f>IF(separador &gt; 0, LEFT(E721,separador - 1), E721)</f>
        <v>EC47 2KO</v>
      </c>
      <c r="G721" s="4" t="str">
        <f>IF(separador &gt; 0, RIGHT(E721,largo -separador - 1),"-")</f>
        <v>-</v>
      </c>
      <c r="H721" s="4" t="s">
        <v>4393</v>
      </c>
      <c r="I721" s="4" t="s">
        <v>3400</v>
      </c>
      <c r="J721" s="13">
        <v>38785.946863425925</v>
      </c>
      <c r="K721" s="4" t="s">
        <v>3671</v>
      </c>
      <c r="M721" s="4">
        <f>IFERROR(FIND(",",E721),0)</f>
        <v>0</v>
      </c>
      <c r="N721" s="4">
        <f>LEN(E721)</f>
        <v>8</v>
      </c>
    </row>
    <row r="722" spans="1:14" outlineLevel="2" x14ac:dyDescent="0.3">
      <c r="A722" t="s">
        <v>4958</v>
      </c>
      <c r="B722" t="s">
        <v>286</v>
      </c>
      <c r="C722" s="1">
        <v>29682</v>
      </c>
      <c r="D722" t="s">
        <v>1566</v>
      </c>
      <c r="E722" t="s">
        <v>1567</v>
      </c>
      <c r="F722" t="str">
        <f>IF(separador &gt; 0, LEFT(E722,separador - 1), E722)</f>
        <v>859 Greenview Dr.</v>
      </c>
      <c r="G722" t="str">
        <f>IF(separador &gt; 0, RIGHT(E722,largo -separador - 1),"-")</f>
        <v>-</v>
      </c>
      <c r="H722" t="s">
        <v>3954</v>
      </c>
      <c r="I722" t="s">
        <v>2969</v>
      </c>
      <c r="J722" s="2">
        <v>42535.441793981481</v>
      </c>
      <c r="K722" t="s">
        <v>3671</v>
      </c>
      <c r="M722">
        <f>IFERROR(FIND(",",E722),0)</f>
        <v>0</v>
      </c>
      <c r="N722">
        <f>LEN(E722)</f>
        <v>17</v>
      </c>
    </row>
    <row r="723" spans="1:14" outlineLevel="2" x14ac:dyDescent="0.3">
      <c r="A723" s="4" t="s">
        <v>5463</v>
      </c>
      <c r="B723" s="4" t="s">
        <v>791</v>
      </c>
      <c r="C723" s="12">
        <v>29676</v>
      </c>
      <c r="D723" s="4" t="s">
        <v>2385</v>
      </c>
      <c r="E723" s="4" t="s">
        <v>2386</v>
      </c>
      <c r="F723" s="4" t="str">
        <f>IF(separador &gt; 0, LEFT(E723,separador - 1), E723)</f>
        <v>Astoria</v>
      </c>
      <c r="G723" s="4" t="str">
        <f>IF(separador &gt; 0, RIGHT(E723,largo -separador - 1),"-")</f>
        <v>NY 11105</v>
      </c>
      <c r="H723" s="4" t="s">
        <v>4459</v>
      </c>
      <c r="I723" s="4" t="s">
        <v>3462</v>
      </c>
      <c r="J723" s="13">
        <v>44184.774097222224</v>
      </c>
      <c r="K723" s="4" t="s">
        <v>3671</v>
      </c>
      <c r="M723" s="4">
        <f>IFERROR(FIND(",",E723),0)</f>
        <v>8</v>
      </c>
      <c r="N723" s="4">
        <f>LEN(E723)</f>
        <v>17</v>
      </c>
    </row>
    <row r="724" spans="1:14" outlineLevel="2" x14ac:dyDescent="0.3">
      <c r="A724" t="s">
        <v>5480</v>
      </c>
      <c r="B724" t="s">
        <v>808</v>
      </c>
      <c r="C724" s="1">
        <v>29657</v>
      </c>
      <c r="D724" t="s">
        <v>2418</v>
      </c>
      <c r="E724" t="s">
        <v>2419</v>
      </c>
      <c r="F724" t="str">
        <f>IF(separador &gt; 0, LEFT(E724,separador - 1), E724)</f>
        <v>Brooklyn</v>
      </c>
      <c r="G724" t="str">
        <f>IF(separador &gt; 0, RIGHT(E724,largo -separador - 1),"-")</f>
        <v>NY 11209</v>
      </c>
      <c r="H724" t="s">
        <v>4476</v>
      </c>
      <c r="I724" t="s">
        <v>3479</v>
      </c>
      <c r="J724" s="2">
        <v>42338.018888888888</v>
      </c>
      <c r="K724" t="s">
        <v>3671</v>
      </c>
      <c r="M724">
        <f>IFERROR(FIND(",",E724),0)</f>
        <v>9</v>
      </c>
      <c r="N724">
        <f>LEN(E724)</f>
        <v>18</v>
      </c>
    </row>
    <row r="725" spans="1:14" outlineLevel="2" x14ac:dyDescent="0.3">
      <c r="A725" s="4" t="s">
        <v>4976</v>
      </c>
      <c r="B725" s="4" t="s">
        <v>304</v>
      </c>
      <c r="C725" s="12">
        <v>29498</v>
      </c>
      <c r="D725" s="4" t="s">
        <v>1602</v>
      </c>
      <c r="E725" s="4" t="s">
        <v>1603</v>
      </c>
      <c r="F725" s="4" t="str">
        <f>IF(separador &gt; 0, LEFT(E725,separador - 1), E725)</f>
        <v>61 San Carlos Rd.</v>
      </c>
      <c r="G725" s="4" t="str">
        <f>IF(separador &gt; 0, RIGHT(E725,largo -separador - 1),"-")</f>
        <v>-</v>
      </c>
      <c r="H725" s="4" t="s">
        <v>3972</v>
      </c>
      <c r="I725" s="4" t="s">
        <v>2986</v>
      </c>
      <c r="J725" s="13">
        <v>38968.985347222224</v>
      </c>
      <c r="K725" s="4" t="s">
        <v>3671</v>
      </c>
      <c r="M725" s="4">
        <f>IFERROR(FIND(",",E725),0)</f>
        <v>0</v>
      </c>
      <c r="N725" s="4">
        <f>LEN(E725)</f>
        <v>17</v>
      </c>
    </row>
    <row r="726" spans="1:14" outlineLevel="2" x14ac:dyDescent="0.3">
      <c r="A726" t="s">
        <v>5283</v>
      </c>
      <c r="B726" t="s">
        <v>611</v>
      </c>
      <c r="C726" s="1">
        <v>29463</v>
      </c>
      <c r="D726" t="s">
        <v>1960</v>
      </c>
      <c r="E726" t="s">
        <v>2130</v>
      </c>
      <c r="F726" t="str">
        <f>IF(separador &gt; 0, LEFT(E726,separador - 1), E726)</f>
        <v>WC72 9SR</v>
      </c>
      <c r="G726" t="str">
        <f>IF(separador &gt; 0, RIGHT(E726,largo -separador - 1),"-")</f>
        <v>-</v>
      </c>
      <c r="H726" t="s">
        <v>4279</v>
      </c>
      <c r="I726" t="s">
        <v>3289</v>
      </c>
      <c r="J726" s="2">
        <v>43915.478761574072</v>
      </c>
      <c r="K726" t="s">
        <v>3671</v>
      </c>
      <c r="M726">
        <f>IFERROR(FIND(",",E726),0)</f>
        <v>0</v>
      </c>
      <c r="N726">
        <f>LEN(E726)</f>
        <v>8</v>
      </c>
    </row>
    <row r="727" spans="1:14" outlineLevel="2" x14ac:dyDescent="0.3">
      <c r="A727" s="4" t="s">
        <v>4918</v>
      </c>
      <c r="B727" s="4" t="s">
        <v>246</v>
      </c>
      <c r="C727" s="12">
        <v>29422</v>
      </c>
      <c r="D727" s="4" t="s">
        <v>1486</v>
      </c>
      <c r="E727" s="4" t="s">
        <v>1487</v>
      </c>
      <c r="F727" s="4" t="str">
        <f>IF(separador &gt; 0, LEFT(E727,separador - 1), E727)</f>
        <v>18 Theatre Rd.</v>
      </c>
      <c r="G727" s="4" t="str">
        <f>IF(separador &gt; 0, RIGHT(E727,largo -separador - 1),"-")</f>
        <v>-</v>
      </c>
      <c r="H727" s="4" t="s">
        <v>3914</v>
      </c>
      <c r="I727" s="4" t="s">
        <v>2929</v>
      </c>
      <c r="J727" s="13">
        <v>38657.711967592593</v>
      </c>
      <c r="K727" s="4" t="s">
        <v>3671</v>
      </c>
      <c r="M727" s="4">
        <f>IFERROR(FIND(",",E727),0)</f>
        <v>0</v>
      </c>
      <c r="N727" s="4">
        <f>LEN(E727)</f>
        <v>14</v>
      </c>
    </row>
    <row r="728" spans="1:14" outlineLevel="2" x14ac:dyDescent="0.3">
      <c r="A728" t="s">
        <v>5571</v>
      </c>
      <c r="B728" t="s">
        <v>899</v>
      </c>
      <c r="C728" s="1">
        <v>29418</v>
      </c>
      <c r="D728" t="s">
        <v>2586</v>
      </c>
      <c r="E728" t="s">
        <v>2368</v>
      </c>
      <c r="F728" t="str">
        <f>IF(separador &gt; 0, LEFT(E728,separador - 1), E728)</f>
        <v>Jamestown</v>
      </c>
      <c r="G728" t="str">
        <f>IF(separador &gt; 0, RIGHT(E728,largo -separador - 1),"-")</f>
        <v>NY 14701</v>
      </c>
      <c r="H728" t="s">
        <v>4567</v>
      </c>
      <c r="I728" t="s">
        <v>3569</v>
      </c>
      <c r="J728" s="2">
        <v>39182.628217592595</v>
      </c>
      <c r="K728" t="s">
        <v>3671</v>
      </c>
      <c r="M728">
        <f>IFERROR(FIND(",",E728),0)</f>
        <v>10</v>
      </c>
      <c r="N728">
        <f>LEN(E728)</f>
        <v>19</v>
      </c>
    </row>
    <row r="729" spans="1:14" outlineLevel="2" x14ac:dyDescent="0.3">
      <c r="A729" s="4" t="s">
        <v>5649</v>
      </c>
      <c r="B729" s="4" t="s">
        <v>977</v>
      </c>
      <c r="C729" s="12">
        <v>29360</v>
      </c>
      <c r="D729" s="4" t="s">
        <v>2664</v>
      </c>
      <c r="E729" s="4" t="s">
        <v>2334</v>
      </c>
      <c r="F729" s="4" t="str">
        <f>IF(separador &gt; 0, LEFT(E729,separador - 1), E729)</f>
        <v>New York</v>
      </c>
      <c r="G729" s="4" t="str">
        <f>IF(separador &gt; 0, RIGHT(E729,largo -separador - 1),"-")</f>
        <v>NY 10011</v>
      </c>
      <c r="H729" s="4" t="s">
        <v>4645</v>
      </c>
      <c r="I729" s="4" t="s">
        <v>3643</v>
      </c>
      <c r="J729" s="13">
        <v>43294.032442129632</v>
      </c>
      <c r="K729" s="4" t="s">
        <v>3671</v>
      </c>
      <c r="M729" s="4">
        <f>IFERROR(FIND(",",E729),0)</f>
        <v>9</v>
      </c>
      <c r="N729" s="4">
        <f>LEN(E729)</f>
        <v>18</v>
      </c>
    </row>
    <row r="730" spans="1:14" outlineLevel="2" x14ac:dyDescent="0.3">
      <c r="A730" t="s">
        <v>5569</v>
      </c>
      <c r="B730" t="s">
        <v>897</v>
      </c>
      <c r="C730" s="1">
        <v>29349</v>
      </c>
      <c r="D730" t="s">
        <v>2584</v>
      </c>
      <c r="E730" t="s">
        <v>2560</v>
      </c>
      <c r="F730" t="str">
        <f>IF(separador &gt; 0, LEFT(E730,separador - 1), E730)</f>
        <v>Brooklyn</v>
      </c>
      <c r="G730" t="str">
        <f>IF(separador &gt; 0, RIGHT(E730,largo -separador - 1),"-")</f>
        <v>NY 11235</v>
      </c>
      <c r="H730" t="s">
        <v>4565</v>
      </c>
      <c r="I730" t="s">
        <v>3567</v>
      </c>
      <c r="J730" s="2">
        <v>41718.850428240738</v>
      </c>
      <c r="K730" t="s">
        <v>3671</v>
      </c>
      <c r="M730">
        <f>IFERROR(FIND(",",E730),0)</f>
        <v>9</v>
      </c>
      <c r="N730">
        <f>LEN(E730)</f>
        <v>18</v>
      </c>
    </row>
    <row r="731" spans="1:14" outlineLevel="2" x14ac:dyDescent="0.3">
      <c r="A731" s="4" t="s">
        <v>5320</v>
      </c>
      <c r="B731" s="4" t="s">
        <v>648</v>
      </c>
      <c r="C731" s="12">
        <v>29323</v>
      </c>
      <c r="D731" s="4" t="s">
        <v>2179</v>
      </c>
      <c r="E731" s="4" t="s">
        <v>1960</v>
      </c>
      <c r="F731" s="4" t="str">
        <f>IF(separador &gt; 0, LEFT(E731,separador - 1), E731)</f>
        <v>London</v>
      </c>
      <c r="G731" s="4" t="str">
        <f>IF(separador &gt; 0, RIGHT(E731,largo -separador - 1),"-")</f>
        <v>-</v>
      </c>
      <c r="H731" s="4" t="s">
        <v>4316</v>
      </c>
      <c r="I731" s="4" t="s">
        <v>3325</v>
      </c>
      <c r="J731" s="13">
        <v>43859.27648148148</v>
      </c>
      <c r="K731" s="4" t="s">
        <v>3671</v>
      </c>
      <c r="M731" s="4">
        <f>IFERROR(FIND(",",E731),0)</f>
        <v>0</v>
      </c>
      <c r="N731" s="4">
        <f>LEN(E731)</f>
        <v>6</v>
      </c>
    </row>
    <row r="732" spans="1:14" outlineLevel="2" x14ac:dyDescent="0.3">
      <c r="A732" t="s">
        <v>5607</v>
      </c>
      <c r="B732" t="s">
        <v>935</v>
      </c>
      <c r="C732" s="1">
        <v>29287</v>
      </c>
      <c r="D732" t="s">
        <v>2622</v>
      </c>
      <c r="E732" t="s">
        <v>2380</v>
      </c>
      <c r="F732" t="str">
        <f>IF(separador &gt; 0, LEFT(E732,separador - 1), E732)</f>
        <v>Astoria</v>
      </c>
      <c r="G732" t="str">
        <f>IF(separador &gt; 0, RIGHT(E732,largo -separador - 1),"-")</f>
        <v>NY 11106</v>
      </c>
      <c r="H732" t="s">
        <v>4603</v>
      </c>
      <c r="I732" t="s">
        <v>3604</v>
      </c>
      <c r="J732" s="2">
        <v>41954.149201388886</v>
      </c>
      <c r="K732" t="s">
        <v>3671</v>
      </c>
      <c r="M732">
        <f>IFERROR(FIND(",",E732),0)</f>
        <v>8</v>
      </c>
      <c r="N732">
        <f>LEN(E732)</f>
        <v>17</v>
      </c>
    </row>
    <row r="733" spans="1:14" outlineLevel="2" x14ac:dyDescent="0.3">
      <c r="A733" s="4" t="s">
        <v>4745</v>
      </c>
      <c r="B733" s="4" t="s">
        <v>73</v>
      </c>
      <c r="C733" s="12">
        <v>29260</v>
      </c>
      <c r="D733" s="4" t="s">
        <v>1140</v>
      </c>
      <c r="E733" s="4" t="s">
        <v>1141</v>
      </c>
      <c r="F733" s="4" t="str">
        <f>IF(separador &gt; 0, LEFT(E733,separador - 1), E733)</f>
        <v>12 George Street</v>
      </c>
      <c r="G733" s="4" t="str">
        <f>IF(separador &gt; 0, RIGHT(E733,largo -separador - 1),"-")</f>
        <v>-</v>
      </c>
      <c r="H733" s="4" t="s">
        <v>3741</v>
      </c>
      <c r="I733" s="4" t="s">
        <v>2759</v>
      </c>
      <c r="J733" s="13">
        <v>38760.850405092591</v>
      </c>
      <c r="K733" s="4" t="s">
        <v>3671</v>
      </c>
      <c r="M733" s="4">
        <f>IFERROR(FIND(",",E733),0)</f>
        <v>0</v>
      </c>
      <c r="N733" s="4">
        <f>LEN(E733)</f>
        <v>16</v>
      </c>
    </row>
    <row r="734" spans="1:14" outlineLevel="2" x14ac:dyDescent="0.3">
      <c r="A734" t="s">
        <v>4895</v>
      </c>
      <c r="B734" t="s">
        <v>223</v>
      </c>
      <c r="C734" s="1">
        <v>29241</v>
      </c>
      <c r="D734" t="s">
        <v>1440</v>
      </c>
      <c r="E734" t="s">
        <v>1441</v>
      </c>
      <c r="F734" t="str">
        <f>IF(separador &gt; 0, LEFT(E734,separador - 1), E734)</f>
        <v>407 Lafayette Court</v>
      </c>
      <c r="G734" t="str">
        <f>IF(separador &gt; 0, RIGHT(E734,largo -separador - 1),"-")</f>
        <v>-</v>
      </c>
      <c r="H734" t="s">
        <v>3891</v>
      </c>
      <c r="I734" t="s">
        <v>2906</v>
      </c>
      <c r="J734" s="2">
        <v>43075.701539351852</v>
      </c>
      <c r="K734" t="s">
        <v>3671</v>
      </c>
      <c r="M734">
        <f>IFERROR(FIND(",",E734),0)</f>
        <v>0</v>
      </c>
      <c r="N734">
        <f>LEN(E734)</f>
        <v>19</v>
      </c>
    </row>
    <row r="735" spans="1:14" outlineLevel="2" x14ac:dyDescent="0.3">
      <c r="A735" s="4" t="s">
        <v>5187</v>
      </c>
      <c r="B735" s="4" t="s">
        <v>515</v>
      </c>
      <c r="C735" s="12">
        <v>29097</v>
      </c>
      <c r="D735" s="4" t="s">
        <v>1960</v>
      </c>
      <c r="E735" s="4" t="s">
        <v>2003</v>
      </c>
      <c r="F735" s="4" t="str">
        <f>IF(separador &gt; 0, LEFT(E735,separador - 1), E735)</f>
        <v>SW78 3UE</v>
      </c>
      <c r="G735" s="4" t="str">
        <f>IF(separador &gt; 0, RIGHT(E735,largo -separador - 1),"-")</f>
        <v>-</v>
      </c>
      <c r="H735" s="4" t="s">
        <v>4183</v>
      </c>
      <c r="I735" s="4" t="s">
        <v>3195</v>
      </c>
      <c r="J735" s="13">
        <v>42988.854907407411</v>
      </c>
      <c r="K735" s="4" t="s">
        <v>3671</v>
      </c>
      <c r="M735" s="4">
        <f>IFERROR(FIND(",",E735),0)</f>
        <v>0</v>
      </c>
      <c r="N735" s="4">
        <f>LEN(E735)</f>
        <v>8</v>
      </c>
    </row>
    <row r="736" spans="1:14" outlineLevel="2" x14ac:dyDescent="0.3">
      <c r="A736" t="s">
        <v>5270</v>
      </c>
      <c r="B736" t="s">
        <v>598</v>
      </c>
      <c r="C736" s="1">
        <v>29096</v>
      </c>
      <c r="D736" t="s">
        <v>2112</v>
      </c>
      <c r="E736" t="s">
        <v>2113</v>
      </c>
      <c r="F736" t="str">
        <f>IF(separador &gt; 0, LEFT(E736,separador - 1), E736)</f>
        <v>93 London Road</v>
      </c>
      <c r="G736" t="str">
        <f>IF(separador &gt; 0, RIGHT(E736,largo -separador - 1),"-")</f>
        <v>-</v>
      </c>
      <c r="H736" t="s">
        <v>4266</v>
      </c>
      <c r="I736" t="s">
        <v>3276</v>
      </c>
      <c r="J736" s="2">
        <v>40594.650312500002</v>
      </c>
      <c r="K736" t="s">
        <v>3671</v>
      </c>
      <c r="M736">
        <f>IFERROR(FIND(",",E736),0)</f>
        <v>0</v>
      </c>
      <c r="N736">
        <f>LEN(E736)</f>
        <v>14</v>
      </c>
    </row>
    <row r="737" spans="1:14" outlineLevel="2" x14ac:dyDescent="0.3">
      <c r="A737" s="4" t="s">
        <v>5476</v>
      </c>
      <c r="B737" s="4" t="s">
        <v>804</v>
      </c>
      <c r="C737" s="12">
        <v>29056</v>
      </c>
      <c r="D737" s="4" t="s">
        <v>2410</v>
      </c>
      <c r="E737" s="4" t="s">
        <v>2411</v>
      </c>
      <c r="F737" s="4" t="str">
        <f>IF(separador &gt; 0, LEFT(E737,separador - 1), E737)</f>
        <v>Bronx</v>
      </c>
      <c r="G737" s="4" t="str">
        <f>IF(separador &gt; 0, RIGHT(E737,largo -separador - 1),"-")</f>
        <v>NY 10458</v>
      </c>
      <c r="H737" s="4" t="s">
        <v>4472</v>
      </c>
      <c r="I737" s="4" t="s">
        <v>3475</v>
      </c>
      <c r="J737" s="13">
        <v>38887.521863425929</v>
      </c>
      <c r="K737" s="4" t="s">
        <v>3671</v>
      </c>
      <c r="M737" s="4">
        <f>IFERROR(FIND(",",E737),0)</f>
        <v>6</v>
      </c>
      <c r="N737" s="4">
        <f>LEN(E737)</f>
        <v>15</v>
      </c>
    </row>
    <row r="738" spans="1:14" outlineLevel="2" x14ac:dyDescent="0.3">
      <c r="A738" t="s">
        <v>5201</v>
      </c>
      <c r="B738" t="s">
        <v>529</v>
      </c>
      <c r="C738" s="1">
        <v>29053</v>
      </c>
      <c r="D738" t="s">
        <v>2021</v>
      </c>
      <c r="E738" t="s">
        <v>2022</v>
      </c>
      <c r="F738" t="str">
        <f>IF(separador &gt; 0, LEFT(E738,separador - 1), E738)</f>
        <v>96 Mill Road</v>
      </c>
      <c r="G738" t="str">
        <f>IF(separador &gt; 0, RIGHT(E738,largo -separador - 1),"-")</f>
        <v>-</v>
      </c>
      <c r="H738" t="s">
        <v>4197</v>
      </c>
      <c r="I738" t="s">
        <v>3209</v>
      </c>
      <c r="J738" s="2">
        <v>42044.905173611114</v>
      </c>
      <c r="K738" t="s">
        <v>3671</v>
      </c>
      <c r="M738">
        <f>IFERROR(FIND(",",E738),0)</f>
        <v>0</v>
      </c>
      <c r="N738">
        <f>LEN(E738)</f>
        <v>12</v>
      </c>
    </row>
    <row r="739" spans="1:14" outlineLevel="2" x14ac:dyDescent="0.3">
      <c r="A739" s="4" t="s">
        <v>4697</v>
      </c>
      <c r="B739" s="4" t="s">
        <v>25</v>
      </c>
      <c r="C739" s="12">
        <v>29037</v>
      </c>
      <c r="D739" s="4" t="s">
        <v>1044</v>
      </c>
      <c r="E739" s="4" t="s">
        <v>1045</v>
      </c>
      <c r="F739" s="4" t="str">
        <f>IF(separador &gt; 0, LEFT(E739,separador - 1), E739)</f>
        <v>Eastpointe</v>
      </c>
      <c r="G739" s="4" t="str">
        <f>IF(separador &gt; 0, RIGHT(E739,largo -separador - 1),"-")</f>
        <v>MI 48021</v>
      </c>
      <c r="H739" s="4" t="s">
        <v>3693</v>
      </c>
      <c r="I739" s="4" t="s">
        <v>2711</v>
      </c>
      <c r="J739" s="13">
        <v>43147.552847222221</v>
      </c>
      <c r="K739" s="4" t="s">
        <v>3671</v>
      </c>
      <c r="M739" s="4">
        <f>IFERROR(FIND(",",E739),0)</f>
        <v>11</v>
      </c>
      <c r="N739" s="4">
        <f>LEN(E739)</f>
        <v>20</v>
      </c>
    </row>
    <row r="740" spans="1:14" outlineLevel="2" x14ac:dyDescent="0.3">
      <c r="A740" t="s">
        <v>4813</v>
      </c>
      <c r="B740" t="s">
        <v>141</v>
      </c>
      <c r="C740" s="1">
        <v>28963</v>
      </c>
      <c r="D740" t="s">
        <v>1276</v>
      </c>
      <c r="E740" t="s">
        <v>1277</v>
      </c>
      <c r="F740" t="str">
        <f>IF(separador &gt; 0, LEFT(E740,separador - 1), E740)</f>
        <v>San Pablo</v>
      </c>
      <c r="G740" t="str">
        <f>IF(separador &gt; 0, RIGHT(E740,largo -separador - 1),"-")</f>
        <v>CA 94806</v>
      </c>
      <c r="H740" t="s">
        <v>3809</v>
      </c>
      <c r="I740" t="s">
        <v>2827</v>
      </c>
      <c r="J740" s="2">
        <v>39299.205555555556</v>
      </c>
      <c r="K740" t="s">
        <v>3671</v>
      </c>
      <c r="M740">
        <f>IFERROR(FIND(",",E740),0)</f>
        <v>10</v>
      </c>
      <c r="N740">
        <f>LEN(E740)</f>
        <v>19</v>
      </c>
    </row>
    <row r="741" spans="1:14" outlineLevel="2" x14ac:dyDescent="0.3">
      <c r="A741" s="4" t="s">
        <v>5669</v>
      </c>
      <c r="B741" s="4" t="s">
        <v>997</v>
      </c>
      <c r="C741" s="12">
        <v>28943</v>
      </c>
      <c r="D741" s="4" t="s">
        <v>2684</v>
      </c>
      <c r="E741" s="4" t="s">
        <v>2413</v>
      </c>
      <c r="F741" s="4" t="str">
        <f>IF(separador &gt; 0, LEFT(E741,separador - 1), E741)</f>
        <v>Brooklyn</v>
      </c>
      <c r="G741" s="4" t="str">
        <f>IF(separador &gt; 0, RIGHT(E741,largo -separador - 1),"-")</f>
        <v>NY 11223</v>
      </c>
      <c r="H741" s="4" t="s">
        <v>4665</v>
      </c>
      <c r="I741" s="4" t="s">
        <v>3661</v>
      </c>
      <c r="J741" s="13">
        <v>39049.422384259262</v>
      </c>
      <c r="K741" s="4" t="s">
        <v>3671</v>
      </c>
      <c r="M741" s="4">
        <f>IFERROR(FIND(",",E741),0)</f>
        <v>9</v>
      </c>
      <c r="N741" s="4">
        <f>LEN(E741)</f>
        <v>18</v>
      </c>
    </row>
    <row r="742" spans="1:14" outlineLevel="2" x14ac:dyDescent="0.3">
      <c r="A742" t="s">
        <v>5304</v>
      </c>
      <c r="B742" t="s">
        <v>632</v>
      </c>
      <c r="C742" s="1">
        <v>28848</v>
      </c>
      <c r="D742" t="s">
        <v>1960</v>
      </c>
      <c r="E742" t="s">
        <v>2158</v>
      </c>
      <c r="F742" t="str">
        <f>IF(separador &gt; 0, LEFT(E742,separador - 1), E742)</f>
        <v>NW06 8XV</v>
      </c>
      <c r="G742" t="str">
        <f>IF(separador &gt; 0, RIGHT(E742,largo -separador - 1),"-")</f>
        <v>-</v>
      </c>
      <c r="H742" t="s">
        <v>4300</v>
      </c>
      <c r="I742" t="s">
        <v>3309</v>
      </c>
      <c r="J742" s="2">
        <v>41267.297025462962</v>
      </c>
      <c r="K742" t="s">
        <v>3671</v>
      </c>
      <c r="M742">
        <f>IFERROR(FIND(",",E742),0)</f>
        <v>0</v>
      </c>
      <c r="N742">
        <f>LEN(E742)</f>
        <v>8</v>
      </c>
    </row>
    <row r="743" spans="1:14" outlineLevel="2" x14ac:dyDescent="0.3">
      <c r="A743" s="4" t="s">
        <v>5287</v>
      </c>
      <c r="B743" s="4" t="s">
        <v>615</v>
      </c>
      <c r="C743" s="12">
        <v>28579</v>
      </c>
      <c r="D743" s="4" t="s">
        <v>2135</v>
      </c>
      <c r="E743" s="4" t="s">
        <v>1960</v>
      </c>
      <c r="F743" s="4" t="str">
        <f>IF(separador &gt; 0, LEFT(E743,separador - 1), E743)</f>
        <v>London</v>
      </c>
      <c r="G743" s="4" t="str">
        <f>IF(separador &gt; 0, RIGHT(E743,largo -separador - 1),"-")</f>
        <v>-</v>
      </c>
      <c r="H743" s="4" t="s">
        <v>4283</v>
      </c>
      <c r="I743" s="4" t="s">
        <v>3293</v>
      </c>
      <c r="J743" s="13">
        <v>44057.112002314818</v>
      </c>
      <c r="K743" s="4" t="s">
        <v>3671</v>
      </c>
      <c r="M743" s="4">
        <f>IFERROR(FIND(",",E743),0)</f>
        <v>0</v>
      </c>
      <c r="N743" s="4">
        <f>LEN(E743)</f>
        <v>6</v>
      </c>
    </row>
    <row r="744" spans="1:14" outlineLevel="2" x14ac:dyDescent="0.3">
      <c r="A744" t="s">
        <v>4721</v>
      </c>
      <c r="B744" t="s">
        <v>49</v>
      </c>
      <c r="C744" s="1">
        <v>28423</v>
      </c>
      <c r="D744" t="s">
        <v>1092</v>
      </c>
      <c r="E744" t="s">
        <v>1093</v>
      </c>
      <c r="F744" t="str">
        <f>IF(separador &gt; 0, LEFT(E744,separador - 1), E744)</f>
        <v>10 Richmond Road</v>
      </c>
      <c r="G744" t="str">
        <f>IF(separador &gt; 0, RIGHT(E744,largo -separador - 1),"-")</f>
        <v>-</v>
      </c>
      <c r="H744" t="s">
        <v>3717</v>
      </c>
      <c r="I744" t="s">
        <v>2735</v>
      </c>
      <c r="J744" s="2">
        <v>38806.385925925926</v>
      </c>
      <c r="K744" t="s">
        <v>3671</v>
      </c>
      <c r="M744">
        <f>IFERROR(FIND(",",E744),0)</f>
        <v>0</v>
      </c>
      <c r="N744">
        <f>LEN(E744)</f>
        <v>16</v>
      </c>
    </row>
    <row r="745" spans="1:14" outlineLevel="2" x14ac:dyDescent="0.3">
      <c r="A745" s="4" t="s">
        <v>4865</v>
      </c>
      <c r="B745" s="4" t="s">
        <v>193</v>
      </c>
      <c r="C745" s="12">
        <v>28367</v>
      </c>
      <c r="D745" s="4" t="s">
        <v>1380</v>
      </c>
      <c r="E745" s="4" t="s">
        <v>1381</v>
      </c>
      <c r="F745" s="4" t="str">
        <f>IF(separador &gt; 0, LEFT(E745,separador - 1), E745)</f>
        <v>8652 Arlington Drive</v>
      </c>
      <c r="G745" s="4" t="str">
        <f>IF(separador &gt; 0, RIGHT(E745,largo -separador - 1),"-")</f>
        <v>-</v>
      </c>
      <c r="H745" s="4" t="s">
        <v>3861</v>
      </c>
      <c r="I745" s="4" t="s">
        <v>2877</v>
      </c>
      <c r="J745" s="13">
        <v>39051.233831018515</v>
      </c>
      <c r="K745" s="4" t="s">
        <v>3671</v>
      </c>
      <c r="M745" s="4">
        <f>IFERROR(FIND(",",E745),0)</f>
        <v>0</v>
      </c>
      <c r="N745" s="4">
        <f>LEN(E745)</f>
        <v>20</v>
      </c>
    </row>
    <row r="746" spans="1:14" outlineLevel="2" x14ac:dyDescent="0.3">
      <c r="A746" t="s">
        <v>4775</v>
      </c>
      <c r="B746" t="s">
        <v>103</v>
      </c>
      <c r="C746" s="1">
        <v>28363</v>
      </c>
      <c r="D746" t="s">
        <v>1200</v>
      </c>
      <c r="E746" t="s">
        <v>1201</v>
      </c>
      <c r="F746" t="str">
        <f>IF(separador &gt; 0, LEFT(E746,separador - 1), E746)</f>
        <v>51 Main Street</v>
      </c>
      <c r="G746" t="str">
        <f>IF(separador &gt; 0, RIGHT(E746,largo -separador - 1),"-")</f>
        <v>-</v>
      </c>
      <c r="H746" t="s">
        <v>3771</v>
      </c>
      <c r="I746" t="s">
        <v>2789</v>
      </c>
      <c r="J746" s="2">
        <v>39815.474768518521</v>
      </c>
      <c r="K746" t="s">
        <v>3671</v>
      </c>
      <c r="M746">
        <f>IFERROR(FIND(",",E746),0)</f>
        <v>0</v>
      </c>
      <c r="N746">
        <f>LEN(E746)</f>
        <v>14</v>
      </c>
    </row>
    <row r="747" spans="1:14" outlineLevel="2" x14ac:dyDescent="0.3">
      <c r="A747" s="4" t="s">
        <v>5210</v>
      </c>
      <c r="B747" s="4" t="s">
        <v>538</v>
      </c>
      <c r="C747" s="12">
        <v>28362</v>
      </c>
      <c r="D747" s="4" t="s">
        <v>2033</v>
      </c>
      <c r="E747" s="4" t="s">
        <v>2034</v>
      </c>
      <c r="F747" s="4" t="str">
        <f>IF(separador &gt; 0, LEFT(E747,separador - 1), E747)</f>
        <v>95 Church Lane</v>
      </c>
      <c r="G747" s="4" t="str">
        <f>IF(separador &gt; 0, RIGHT(E747,largo -separador - 1),"-")</f>
        <v>-</v>
      </c>
      <c r="H747" s="4" t="s">
        <v>4206</v>
      </c>
      <c r="I747" s="4" t="s">
        <v>3218</v>
      </c>
      <c r="J747" s="13">
        <v>41364.185428240744</v>
      </c>
      <c r="K747" s="4" t="s">
        <v>3671</v>
      </c>
      <c r="M747" s="4">
        <f>IFERROR(FIND(",",E747),0)</f>
        <v>0</v>
      </c>
      <c r="N747" s="4">
        <f>LEN(E747)</f>
        <v>14</v>
      </c>
    </row>
    <row r="748" spans="1:14" outlineLevel="2" x14ac:dyDescent="0.3">
      <c r="A748" t="s">
        <v>5666</v>
      </c>
      <c r="B748" t="s">
        <v>994</v>
      </c>
      <c r="C748" s="1">
        <v>28342</v>
      </c>
      <c r="D748" t="s">
        <v>2681</v>
      </c>
      <c r="E748" t="s">
        <v>2423</v>
      </c>
      <c r="F748" t="str">
        <f>IF(separador &gt; 0, LEFT(E748,separador - 1), E748)</f>
        <v>Bay Shore</v>
      </c>
      <c r="G748" t="str">
        <f>IF(separador &gt; 0, RIGHT(E748,largo -separador - 1),"-")</f>
        <v>NY 11706</v>
      </c>
      <c r="H748" t="s">
        <v>4662</v>
      </c>
      <c r="I748" t="s">
        <v>3658</v>
      </c>
      <c r="J748" s="2">
        <v>38463.045671296299</v>
      </c>
      <c r="K748" t="s">
        <v>3671</v>
      </c>
      <c r="M748">
        <f>IFERROR(FIND(",",E748),0)</f>
        <v>10</v>
      </c>
      <c r="N748">
        <f>LEN(E748)</f>
        <v>19</v>
      </c>
    </row>
    <row r="749" spans="1:14" outlineLevel="2" x14ac:dyDescent="0.3">
      <c r="A749" s="4" t="s">
        <v>5050</v>
      </c>
      <c r="B749" s="4" t="s">
        <v>378</v>
      </c>
      <c r="C749" s="12">
        <v>28296</v>
      </c>
      <c r="D749" s="4" t="s">
        <v>1750</v>
      </c>
      <c r="E749" s="4" t="s">
        <v>1751</v>
      </c>
      <c r="F749" s="4" t="str">
        <f>IF(separador &gt; 0, LEFT(E749,separador - 1), E749)</f>
        <v>9 East San Carlos Ave.</v>
      </c>
      <c r="G749" s="4" t="str">
        <f>IF(separador &gt; 0, RIGHT(E749,largo -separador - 1),"-")</f>
        <v>-</v>
      </c>
      <c r="H749" s="4" t="s">
        <v>4046</v>
      </c>
      <c r="I749" s="4" t="s">
        <v>3060</v>
      </c>
      <c r="J749" s="13">
        <v>44024.496678240743</v>
      </c>
      <c r="K749" s="4" t="s">
        <v>3671</v>
      </c>
      <c r="M749" s="4">
        <f>IFERROR(FIND(",",E749),0)</f>
        <v>0</v>
      </c>
      <c r="N749" s="4">
        <f>LEN(E749)</f>
        <v>22</v>
      </c>
    </row>
    <row r="750" spans="1:14" outlineLevel="2" x14ac:dyDescent="0.3">
      <c r="A750" t="s">
        <v>4858</v>
      </c>
      <c r="B750" t="s">
        <v>186</v>
      </c>
      <c r="C750" s="1">
        <v>28292</v>
      </c>
      <c r="D750" t="s">
        <v>1366</v>
      </c>
      <c r="E750" t="s">
        <v>1367</v>
      </c>
      <c r="F750" t="str">
        <f>IF(separador &gt; 0, LEFT(E750,separador - 1), E750)</f>
        <v>51 College Street</v>
      </c>
      <c r="G750" t="str">
        <f>IF(separador &gt; 0, RIGHT(E750,largo -separador - 1),"-")</f>
        <v>-</v>
      </c>
      <c r="H750" t="s">
        <v>3854</v>
      </c>
      <c r="I750" t="s">
        <v>2870</v>
      </c>
      <c r="J750" s="2">
        <v>40825.83934027778</v>
      </c>
      <c r="K750" t="s">
        <v>3671</v>
      </c>
      <c r="M750">
        <f>IFERROR(FIND(",",E750),0)</f>
        <v>0</v>
      </c>
      <c r="N750">
        <f>LEN(E750)</f>
        <v>17</v>
      </c>
    </row>
    <row r="751" spans="1:14" outlineLevel="2" x14ac:dyDescent="0.3">
      <c r="A751" s="4" t="s">
        <v>5372</v>
      </c>
      <c r="B751" s="4" t="s">
        <v>700</v>
      </c>
      <c r="C751" s="12">
        <v>28197</v>
      </c>
      <c r="D751" s="4" t="s">
        <v>2247</v>
      </c>
      <c r="E751" s="4" t="s">
        <v>2248</v>
      </c>
      <c r="F751" s="4" t="str">
        <f>IF(separador &gt; 0, LEFT(E751,separador - 1), E751)</f>
        <v>72 The Grove</v>
      </c>
      <c r="G751" s="4" t="str">
        <f>IF(separador &gt; 0, RIGHT(E751,largo -separador - 1),"-")</f>
        <v>-</v>
      </c>
      <c r="H751" s="4" t="s">
        <v>4368</v>
      </c>
      <c r="I751" s="4" t="s">
        <v>3376</v>
      </c>
      <c r="J751" s="13">
        <v>39900.889293981483</v>
      </c>
      <c r="K751" s="4" t="s">
        <v>3671</v>
      </c>
      <c r="M751" s="4">
        <f>IFERROR(FIND(",",E751),0)</f>
        <v>0</v>
      </c>
      <c r="N751" s="4">
        <f>LEN(E751)</f>
        <v>12</v>
      </c>
    </row>
    <row r="752" spans="1:14" outlineLevel="2" x14ac:dyDescent="0.3">
      <c r="A752" t="s">
        <v>5521</v>
      </c>
      <c r="B752" t="s">
        <v>849</v>
      </c>
      <c r="C752" s="1">
        <v>28175</v>
      </c>
      <c r="D752" t="s">
        <v>2499</v>
      </c>
      <c r="E752" t="s">
        <v>2500</v>
      </c>
      <c r="F752" t="str">
        <f>IF(separador &gt; 0, LEFT(E752,separador - 1), E752)</f>
        <v>Hempstead</v>
      </c>
      <c r="G752" t="str">
        <f>IF(separador &gt; 0, RIGHT(E752,largo -separador - 1),"-")</f>
        <v>NY 11550</v>
      </c>
      <c r="H752" t="s">
        <v>4517</v>
      </c>
      <c r="I752" t="s">
        <v>3520</v>
      </c>
      <c r="J752" s="2">
        <v>41732.928414351853</v>
      </c>
      <c r="K752" t="s">
        <v>3671</v>
      </c>
      <c r="M752">
        <f>IFERROR(FIND(",",E752),0)</f>
        <v>10</v>
      </c>
      <c r="N752">
        <f>LEN(E752)</f>
        <v>19</v>
      </c>
    </row>
    <row r="753" spans="1:14" outlineLevel="2" x14ac:dyDescent="0.3">
      <c r="A753" s="4" t="s">
        <v>5431</v>
      </c>
      <c r="B753" s="4" t="s">
        <v>759</v>
      </c>
      <c r="C753" s="12">
        <v>27897</v>
      </c>
      <c r="D753" s="4" t="s">
        <v>2326</v>
      </c>
      <c r="E753" s="4" t="s">
        <v>1960</v>
      </c>
      <c r="F753" s="4" t="str">
        <f>IF(separador &gt; 0, LEFT(E753,separador - 1), E753)</f>
        <v>London</v>
      </c>
      <c r="G753" s="4" t="str">
        <f>IF(separador &gt; 0, RIGHT(E753,largo -separador - 1),"-")</f>
        <v>-</v>
      </c>
      <c r="H753" s="4" t="s">
        <v>4427</v>
      </c>
      <c r="I753" s="4" t="s">
        <v>3432</v>
      </c>
      <c r="J753" s="13">
        <v>38433.094340277778</v>
      </c>
      <c r="K753" s="4" t="s">
        <v>3671</v>
      </c>
      <c r="M753" s="4">
        <f>IFERROR(FIND(",",E753),0)</f>
        <v>0</v>
      </c>
      <c r="N753" s="4">
        <f>LEN(E753)</f>
        <v>6</v>
      </c>
    </row>
    <row r="754" spans="1:14" outlineLevel="2" x14ac:dyDescent="0.3">
      <c r="A754" t="s">
        <v>5197</v>
      </c>
      <c r="B754" t="s">
        <v>525</v>
      </c>
      <c r="C754" s="1">
        <v>27855</v>
      </c>
      <c r="D754" t="s">
        <v>2016</v>
      </c>
      <c r="E754" t="s">
        <v>1960</v>
      </c>
      <c r="F754" t="str">
        <f>IF(separador &gt; 0, LEFT(E754,separador - 1), E754)</f>
        <v>London</v>
      </c>
      <c r="G754" t="str">
        <f>IF(separador &gt; 0, RIGHT(E754,largo -separador - 1),"-")</f>
        <v>-</v>
      </c>
      <c r="H754" t="s">
        <v>4193</v>
      </c>
      <c r="I754" t="s">
        <v>3205</v>
      </c>
      <c r="J754" s="2">
        <v>39761.989247685182</v>
      </c>
      <c r="K754" t="s">
        <v>3671</v>
      </c>
      <c r="M754">
        <f>IFERROR(FIND(",",E754),0)</f>
        <v>0</v>
      </c>
      <c r="N754">
        <f>LEN(E754)</f>
        <v>6</v>
      </c>
    </row>
    <row r="755" spans="1:14" outlineLevel="2" x14ac:dyDescent="0.3">
      <c r="A755" s="4" t="s">
        <v>4698</v>
      </c>
      <c r="B755" s="4" t="s">
        <v>26</v>
      </c>
      <c r="C755" s="12">
        <v>27741</v>
      </c>
      <c r="D755" s="4" t="s">
        <v>1046</v>
      </c>
      <c r="E755" s="4" t="s">
        <v>1047</v>
      </c>
      <c r="F755" s="4" t="str">
        <f>IF(separador &gt; 0, LEFT(E755,separador - 1), E755)</f>
        <v>Nanuet</v>
      </c>
      <c r="G755" s="4" t="str">
        <f>IF(separador &gt; 0, RIGHT(E755,largo -separador - 1),"-")</f>
        <v>NY 10954</v>
      </c>
      <c r="H755" s="4" t="s">
        <v>3694</v>
      </c>
      <c r="I755" s="4" t="s">
        <v>2712</v>
      </c>
      <c r="J755" s="13">
        <v>43522.384548611109</v>
      </c>
      <c r="K755" s="4" t="s">
        <v>3671</v>
      </c>
      <c r="M755" s="4">
        <f>IFERROR(FIND(",",E755),0)</f>
        <v>7</v>
      </c>
      <c r="N755" s="4">
        <f>LEN(E755)</f>
        <v>16</v>
      </c>
    </row>
    <row r="756" spans="1:14" outlineLevel="2" x14ac:dyDescent="0.3">
      <c r="A756" t="s">
        <v>4867</v>
      </c>
      <c r="B756" t="s">
        <v>195</v>
      </c>
      <c r="C756" s="1">
        <v>27720</v>
      </c>
      <c r="D756" t="s">
        <v>1384</v>
      </c>
      <c r="E756" t="s">
        <v>1385</v>
      </c>
      <c r="F756" t="str">
        <f>IF(separador &gt; 0, LEFT(E756,separador - 1), E756)</f>
        <v>35 Charles St.</v>
      </c>
      <c r="G756" t="str">
        <f>IF(separador &gt; 0, RIGHT(E756,largo -separador - 1),"-")</f>
        <v>-</v>
      </c>
      <c r="H756" t="s">
        <v>3863</v>
      </c>
      <c r="I756" t="s">
        <v>2879</v>
      </c>
      <c r="J756" s="2">
        <v>43485.755324074074</v>
      </c>
      <c r="K756" t="s">
        <v>3671</v>
      </c>
      <c r="M756">
        <f>IFERROR(FIND(",",E756),0)</f>
        <v>0</v>
      </c>
      <c r="N756">
        <f>LEN(E756)</f>
        <v>14</v>
      </c>
    </row>
    <row r="757" spans="1:14" outlineLevel="2" x14ac:dyDescent="0.3">
      <c r="A757" s="4" t="s">
        <v>5120</v>
      </c>
      <c r="B757" s="4" t="s">
        <v>448</v>
      </c>
      <c r="C757" s="12">
        <v>27701</v>
      </c>
      <c r="D757" s="4" t="s">
        <v>1889</v>
      </c>
      <c r="E757" s="4" t="s">
        <v>1890</v>
      </c>
      <c r="F757" s="4" t="str">
        <f>IF(separador &gt; 0, LEFT(E757,separador - 1), E757)</f>
        <v>9585 Cleveland Ave.</v>
      </c>
      <c r="G757" s="4" t="str">
        <f>IF(separador &gt; 0, RIGHT(E757,largo -separador - 1),"-")</f>
        <v>-</v>
      </c>
      <c r="H757" s="4" t="s">
        <v>4116</v>
      </c>
      <c r="I757" s="4" t="s">
        <v>3129</v>
      </c>
      <c r="J757" s="13">
        <v>38993.13989583333</v>
      </c>
      <c r="K757" s="4" t="s">
        <v>3671</v>
      </c>
      <c r="M757" s="4">
        <f>IFERROR(FIND(",",E757),0)</f>
        <v>0</v>
      </c>
      <c r="N757" s="4">
        <f>LEN(E757)</f>
        <v>19</v>
      </c>
    </row>
    <row r="758" spans="1:14" outlineLevel="2" x14ac:dyDescent="0.3">
      <c r="A758" t="s">
        <v>5025</v>
      </c>
      <c r="B758" t="s">
        <v>353</v>
      </c>
      <c r="C758" s="1">
        <v>27619</v>
      </c>
      <c r="D758" t="s">
        <v>1700</v>
      </c>
      <c r="E758" t="s">
        <v>1701</v>
      </c>
      <c r="F758" t="str">
        <f>IF(separador &gt; 0, LEFT(E758,separador - 1), E758)</f>
        <v>88 Marsh Road</v>
      </c>
      <c r="G758" t="str">
        <f>IF(separador &gt; 0, RIGHT(E758,largo -separador - 1),"-")</f>
        <v>-</v>
      </c>
      <c r="H758" t="s">
        <v>4021</v>
      </c>
      <c r="I758" t="s">
        <v>3035</v>
      </c>
      <c r="J758" s="2">
        <v>41237.635428240741</v>
      </c>
      <c r="K758" t="s">
        <v>3671</v>
      </c>
      <c r="M758">
        <f>IFERROR(FIND(",",E758),0)</f>
        <v>0</v>
      </c>
      <c r="N758">
        <f>LEN(E758)</f>
        <v>13</v>
      </c>
    </row>
    <row r="759" spans="1:14" outlineLevel="2" x14ac:dyDescent="0.3">
      <c r="A759" s="4" t="s">
        <v>5656</v>
      </c>
      <c r="B759" s="4" t="s">
        <v>984</v>
      </c>
      <c r="C759" s="12">
        <v>27288</v>
      </c>
      <c r="D759" s="4" t="s">
        <v>2671</v>
      </c>
      <c r="E759" s="4" t="s">
        <v>2443</v>
      </c>
      <c r="F759" s="4" t="str">
        <f>IF(separador &gt; 0, LEFT(E759,separador - 1), E759)</f>
        <v>New York</v>
      </c>
      <c r="G759" s="4" t="str">
        <f>IF(separador &gt; 0, RIGHT(E759,largo -separador - 1),"-")</f>
        <v>NY 10029</v>
      </c>
      <c r="H759" s="4" t="s">
        <v>4652</v>
      </c>
      <c r="I759" s="4" t="s">
        <v>3650</v>
      </c>
      <c r="J759" s="13">
        <v>39385.043425925927</v>
      </c>
      <c r="K759" s="4" t="s">
        <v>3671</v>
      </c>
      <c r="M759" s="4">
        <f>IFERROR(FIND(",",E759),0)</f>
        <v>9</v>
      </c>
      <c r="N759" s="4">
        <f>LEN(E759)</f>
        <v>18</v>
      </c>
    </row>
    <row r="760" spans="1:14" outlineLevel="2" x14ac:dyDescent="0.3">
      <c r="A760" t="s">
        <v>5310</v>
      </c>
      <c r="B760" t="s">
        <v>638</v>
      </c>
      <c r="C760" s="1">
        <v>27133</v>
      </c>
      <c r="D760" t="s">
        <v>1960</v>
      </c>
      <c r="E760" t="s">
        <v>2166</v>
      </c>
      <c r="F760" t="str">
        <f>IF(separador &gt; 0, LEFT(E760,separador - 1), E760)</f>
        <v>SW41 7WV</v>
      </c>
      <c r="G760" t="str">
        <f>IF(separador &gt; 0, RIGHT(E760,largo -separador - 1),"-")</f>
        <v>-</v>
      </c>
      <c r="H760" t="s">
        <v>4306</v>
      </c>
      <c r="I760" t="s">
        <v>3315</v>
      </c>
      <c r="J760" s="2">
        <v>40371.741863425923</v>
      </c>
      <c r="K760" t="s">
        <v>3671</v>
      </c>
      <c r="M760">
        <f>IFERROR(FIND(",",E760),0)</f>
        <v>0</v>
      </c>
      <c r="N760">
        <f>LEN(E760)</f>
        <v>8</v>
      </c>
    </row>
    <row r="761" spans="1:14" outlineLevel="2" x14ac:dyDescent="0.3">
      <c r="A761" s="4" t="s">
        <v>5606</v>
      </c>
      <c r="B761" s="4" t="s">
        <v>934</v>
      </c>
      <c r="C761" s="12">
        <v>27089</v>
      </c>
      <c r="D761" s="4" t="s">
        <v>2621</v>
      </c>
      <c r="E761" s="4" t="s">
        <v>2528</v>
      </c>
      <c r="F761" s="4" t="str">
        <f>IF(separador &gt; 0, LEFT(E761,separador - 1), E761)</f>
        <v>Bronx</v>
      </c>
      <c r="G761" s="4" t="str">
        <f>IF(separador &gt; 0, RIGHT(E761,largo -separador - 1),"-")</f>
        <v>NY 10468</v>
      </c>
      <c r="H761" s="4" t="s">
        <v>4602</v>
      </c>
      <c r="I761" s="4" t="s">
        <v>3603</v>
      </c>
      <c r="J761" s="13">
        <v>40908.528148148151</v>
      </c>
      <c r="K761" s="4" t="s">
        <v>3671</v>
      </c>
      <c r="M761" s="4">
        <f>IFERROR(FIND(",",E761),0)</f>
        <v>6</v>
      </c>
      <c r="N761" s="4">
        <f>LEN(E761)</f>
        <v>15</v>
      </c>
    </row>
    <row r="762" spans="1:14" outlineLevel="2" x14ac:dyDescent="0.3">
      <c r="A762" t="s">
        <v>5443</v>
      </c>
      <c r="B762" t="s">
        <v>771</v>
      </c>
      <c r="C762" s="1">
        <v>27036</v>
      </c>
      <c r="D762" t="s">
        <v>2345</v>
      </c>
      <c r="E762" t="s">
        <v>2346</v>
      </c>
      <c r="F762" t="str">
        <f>IF(separador &gt; 0, LEFT(E762,separador - 1), E762)</f>
        <v>Ridgewood</v>
      </c>
      <c r="G762" t="str">
        <f>IF(separador &gt; 0, RIGHT(E762,largo -separador - 1),"-")</f>
        <v>NY 11385</v>
      </c>
      <c r="H762" t="s">
        <v>4439</v>
      </c>
      <c r="I762" t="s">
        <v>3443</v>
      </c>
      <c r="J762" s="2">
        <v>41882.254340277781</v>
      </c>
      <c r="K762" t="s">
        <v>3671</v>
      </c>
      <c r="M762">
        <f>IFERROR(FIND(",",E762),0)</f>
        <v>10</v>
      </c>
      <c r="N762">
        <f>LEN(E762)</f>
        <v>19</v>
      </c>
    </row>
    <row r="763" spans="1:14" outlineLevel="2" x14ac:dyDescent="0.3">
      <c r="A763" s="4" t="s">
        <v>5640</v>
      </c>
      <c r="B763" s="4" t="s">
        <v>968</v>
      </c>
      <c r="C763" s="12">
        <v>26964</v>
      </c>
      <c r="D763" s="4" t="s">
        <v>2655</v>
      </c>
      <c r="E763" s="4" t="s">
        <v>2350</v>
      </c>
      <c r="F763" s="4" t="str">
        <f>IF(separador &gt; 0, LEFT(E763,separador - 1), E763)</f>
        <v>New York</v>
      </c>
      <c r="G763" s="4" t="str">
        <f>IF(separador &gt; 0, RIGHT(E763,largo -separador - 1),"-")</f>
        <v>NY 10023</v>
      </c>
      <c r="H763" s="4" t="s">
        <v>4636</v>
      </c>
      <c r="I763" s="4" t="s">
        <v>3634</v>
      </c>
      <c r="J763" s="13">
        <v>44101.625185185185</v>
      </c>
      <c r="K763" s="4" t="s">
        <v>3671</v>
      </c>
      <c r="M763" s="4">
        <f>IFERROR(FIND(",",E763),0)</f>
        <v>9</v>
      </c>
      <c r="N763" s="4">
        <f>LEN(E763)</f>
        <v>18</v>
      </c>
    </row>
    <row r="764" spans="1:14" outlineLevel="2" x14ac:dyDescent="0.3">
      <c r="A764" t="s">
        <v>5230</v>
      </c>
      <c r="B764" t="s">
        <v>558</v>
      </c>
      <c r="C764" s="1">
        <v>26961</v>
      </c>
      <c r="D764" t="s">
        <v>2059</v>
      </c>
      <c r="E764" t="s">
        <v>1960</v>
      </c>
      <c r="F764" t="str">
        <f>IF(separador &gt; 0, LEFT(E764,separador - 1), E764)</f>
        <v>London</v>
      </c>
      <c r="G764" t="str">
        <f>IF(separador &gt; 0, RIGHT(E764,largo -separador - 1),"-")</f>
        <v>-</v>
      </c>
      <c r="H764" t="s">
        <v>4226</v>
      </c>
      <c r="I764" t="s">
        <v>3238</v>
      </c>
      <c r="J764" s="2">
        <v>43790.346354166664</v>
      </c>
      <c r="K764" t="s">
        <v>3671</v>
      </c>
      <c r="M764">
        <f>IFERROR(FIND(",",E764),0)</f>
        <v>0</v>
      </c>
      <c r="N764">
        <f>LEN(E764)</f>
        <v>6</v>
      </c>
    </row>
    <row r="765" spans="1:14" outlineLevel="2" x14ac:dyDescent="0.3">
      <c r="A765" s="4" t="s">
        <v>4972</v>
      </c>
      <c r="B765" s="4" t="s">
        <v>300</v>
      </c>
      <c r="C765" s="12">
        <v>26858</v>
      </c>
      <c r="D765" s="4" t="s">
        <v>1594</v>
      </c>
      <c r="E765" s="4" t="s">
        <v>1595</v>
      </c>
      <c r="F765" s="4" t="str">
        <f>IF(separador &gt; 0, LEFT(E765,separador - 1), E765)</f>
        <v>22 Ridge Lane</v>
      </c>
      <c r="G765" s="4" t="str">
        <f>IF(separador &gt; 0, RIGHT(E765,largo -separador - 1),"-")</f>
        <v>-</v>
      </c>
      <c r="H765" s="4" t="s">
        <v>3968</v>
      </c>
      <c r="I765" s="4" t="s">
        <v>2982</v>
      </c>
      <c r="J765" s="13">
        <v>41047.224756944444</v>
      </c>
      <c r="K765" s="4" t="s">
        <v>3671</v>
      </c>
      <c r="M765" s="4">
        <f>IFERROR(FIND(",",E765),0)</f>
        <v>0</v>
      </c>
      <c r="N765" s="4">
        <f>LEN(E765)</f>
        <v>13</v>
      </c>
    </row>
    <row r="766" spans="1:14" outlineLevel="2" x14ac:dyDescent="0.3">
      <c r="A766" t="s">
        <v>5094</v>
      </c>
      <c r="B766" t="s">
        <v>422</v>
      </c>
      <c r="C766" s="1">
        <v>26854</v>
      </c>
      <c r="D766" t="s">
        <v>1837</v>
      </c>
      <c r="E766" t="s">
        <v>1838</v>
      </c>
      <c r="F766" t="str">
        <f>IF(separador &gt; 0, LEFT(E766,separador - 1), E766)</f>
        <v>139 Mountainview St.</v>
      </c>
      <c r="G766" t="str">
        <f>IF(separador &gt; 0, RIGHT(E766,largo -separador - 1),"-")</f>
        <v>-</v>
      </c>
      <c r="H766" t="s">
        <v>4090</v>
      </c>
      <c r="I766" t="s">
        <v>3104</v>
      </c>
      <c r="J766" s="2">
        <v>41864.926770833335</v>
      </c>
      <c r="K766" t="s">
        <v>3671</v>
      </c>
      <c r="M766">
        <f>IFERROR(FIND(",",E766),0)</f>
        <v>0</v>
      </c>
      <c r="N766">
        <f>LEN(E766)</f>
        <v>20</v>
      </c>
    </row>
    <row r="767" spans="1:14" outlineLevel="2" x14ac:dyDescent="0.3">
      <c r="A767" s="4" t="s">
        <v>5068</v>
      </c>
      <c r="B767" s="4" t="s">
        <v>396</v>
      </c>
      <c r="C767" s="12">
        <v>26827</v>
      </c>
      <c r="D767" s="4" t="s">
        <v>1786</v>
      </c>
      <c r="E767" s="4" t="s">
        <v>1787</v>
      </c>
      <c r="F767" s="4" t="str">
        <f>IF(separador &gt; 0, LEFT(E767,separador - 1), E767)</f>
        <v>788 Glenholme Dr.</v>
      </c>
      <c r="G767" s="4" t="str">
        <f>IF(separador &gt; 0, RIGHT(E767,largo -separador - 1),"-")</f>
        <v>-</v>
      </c>
      <c r="H767" s="4" t="s">
        <v>4064</v>
      </c>
      <c r="I767" s="4" t="s">
        <v>3078</v>
      </c>
      <c r="J767" s="13">
        <v>39736.909270833334</v>
      </c>
      <c r="K767" s="4" t="s">
        <v>3671</v>
      </c>
      <c r="M767" s="4">
        <f>IFERROR(FIND(",",E767),0)</f>
        <v>0</v>
      </c>
      <c r="N767" s="4">
        <f>LEN(E767)</f>
        <v>17</v>
      </c>
    </row>
    <row r="768" spans="1:14" outlineLevel="2" x14ac:dyDescent="0.3">
      <c r="A768" t="s">
        <v>5243</v>
      </c>
      <c r="B768" t="s">
        <v>571</v>
      </c>
      <c r="C768" s="1">
        <v>26814</v>
      </c>
      <c r="D768" t="s">
        <v>2076</v>
      </c>
      <c r="E768" t="s">
        <v>2077</v>
      </c>
      <c r="F768" t="str">
        <f>IF(separador &gt; 0, LEFT(E768,separador - 1), E768)</f>
        <v>549 West Street</v>
      </c>
      <c r="G768" t="str">
        <f>IF(separador &gt; 0, RIGHT(E768,largo -separador - 1),"-")</f>
        <v>-</v>
      </c>
      <c r="H768" t="s">
        <v>4239</v>
      </c>
      <c r="I768" t="s">
        <v>3251</v>
      </c>
      <c r="J768" s="2">
        <v>43437.397662037038</v>
      </c>
      <c r="K768" t="s">
        <v>3671</v>
      </c>
      <c r="M768">
        <f>IFERROR(FIND(",",E768),0)</f>
        <v>0</v>
      </c>
      <c r="N768">
        <f>LEN(E768)</f>
        <v>15</v>
      </c>
    </row>
    <row r="769" spans="1:14" outlineLevel="2" x14ac:dyDescent="0.3">
      <c r="A769" s="4" t="s">
        <v>5189</v>
      </c>
      <c r="B769" s="4" t="s">
        <v>517</v>
      </c>
      <c r="C769" s="12">
        <v>26786</v>
      </c>
      <c r="D769" s="4" t="s">
        <v>2005</v>
      </c>
      <c r="E769" s="4" t="s">
        <v>2006</v>
      </c>
      <c r="F769" s="4" t="str">
        <f>IF(separador &gt; 0, LEFT(E769,separador - 1), E769)</f>
        <v>11 Church Street</v>
      </c>
      <c r="G769" s="4" t="str">
        <f>IF(separador &gt; 0, RIGHT(E769,largo -separador - 1),"-")</f>
        <v>-</v>
      </c>
      <c r="H769" s="4" t="s">
        <v>4185</v>
      </c>
      <c r="I769" s="4" t="s">
        <v>3197</v>
      </c>
      <c r="J769" s="13">
        <v>42742.136296296296</v>
      </c>
      <c r="K769" s="4" t="s">
        <v>3671</v>
      </c>
      <c r="M769" s="4">
        <f>IFERROR(FIND(",",E769),0)</f>
        <v>0</v>
      </c>
      <c r="N769" s="4">
        <f>LEN(E769)</f>
        <v>16</v>
      </c>
    </row>
    <row r="770" spans="1:14" outlineLevel="2" x14ac:dyDescent="0.3">
      <c r="A770" t="s">
        <v>5380</v>
      </c>
      <c r="B770" t="s">
        <v>708</v>
      </c>
      <c r="C770" s="1">
        <v>26724</v>
      </c>
      <c r="D770" t="s">
        <v>2258</v>
      </c>
      <c r="E770" t="s">
        <v>1960</v>
      </c>
      <c r="F770" t="str">
        <f>IF(separador &gt; 0, LEFT(E770,separador - 1), E770)</f>
        <v>London</v>
      </c>
      <c r="G770" t="str">
        <f>IF(separador &gt; 0, RIGHT(E770,largo -separador - 1),"-")</f>
        <v>-</v>
      </c>
      <c r="H770" t="s">
        <v>4376</v>
      </c>
      <c r="I770" t="s">
        <v>3383</v>
      </c>
      <c r="J770" s="2">
        <v>42127.583553240744</v>
      </c>
      <c r="K770" t="s">
        <v>3671</v>
      </c>
      <c r="M770">
        <f>IFERROR(FIND(",",E770),0)</f>
        <v>0</v>
      </c>
      <c r="N770">
        <f>LEN(E770)</f>
        <v>6</v>
      </c>
    </row>
    <row r="771" spans="1:14" outlineLevel="2" x14ac:dyDescent="0.3">
      <c r="A771" s="4" t="s">
        <v>5552</v>
      </c>
      <c r="B771" s="4" t="s">
        <v>880</v>
      </c>
      <c r="C771" s="12">
        <v>26704</v>
      </c>
      <c r="D771" s="4" t="s">
        <v>2561</v>
      </c>
      <c r="E771" s="4" t="s">
        <v>2562</v>
      </c>
      <c r="F771" s="4" t="str">
        <f>IF(separador &gt; 0, LEFT(E771,separador - 1), E771)</f>
        <v>Brooklyn</v>
      </c>
      <c r="G771" s="4" t="str">
        <f>IF(separador &gt; 0, RIGHT(E771,largo -separador - 1),"-")</f>
        <v>NY 11201</v>
      </c>
      <c r="H771" s="4" t="s">
        <v>4548</v>
      </c>
      <c r="I771" s="4" t="s">
        <v>3550</v>
      </c>
      <c r="J771" s="13">
        <v>42577.288530092592</v>
      </c>
      <c r="K771" s="4" t="s">
        <v>3671</v>
      </c>
      <c r="M771" s="4">
        <f>IFERROR(FIND(",",E771),0)</f>
        <v>9</v>
      </c>
      <c r="N771" s="4">
        <f>LEN(E771)</f>
        <v>18</v>
      </c>
    </row>
    <row r="772" spans="1:14" outlineLevel="2" x14ac:dyDescent="0.3">
      <c r="A772" t="s">
        <v>5554</v>
      </c>
      <c r="B772" t="s">
        <v>882</v>
      </c>
      <c r="C772" s="1">
        <v>26673</v>
      </c>
      <c r="D772" t="s">
        <v>2565</v>
      </c>
      <c r="E772" t="s">
        <v>2566</v>
      </c>
      <c r="F772" t="str">
        <f>IF(separador &gt; 0, LEFT(E772,separador - 1), E772)</f>
        <v>Webster</v>
      </c>
      <c r="G772" t="str">
        <f>IF(separador &gt; 0, RIGHT(E772,largo -separador - 1),"-")</f>
        <v>NY 14580</v>
      </c>
      <c r="H772" t="s">
        <v>4550</v>
      </c>
      <c r="I772" t="s">
        <v>3552</v>
      </c>
      <c r="J772" s="2">
        <v>42939.357453703706</v>
      </c>
      <c r="K772" t="s">
        <v>3671</v>
      </c>
      <c r="M772">
        <f>IFERROR(FIND(",",E772),0)</f>
        <v>8</v>
      </c>
      <c r="N772">
        <f>LEN(E772)</f>
        <v>17</v>
      </c>
    </row>
    <row r="773" spans="1:14" outlineLevel="2" x14ac:dyDescent="0.3">
      <c r="A773" s="4" t="s">
        <v>4882</v>
      </c>
      <c r="B773" s="4" t="s">
        <v>210</v>
      </c>
      <c r="C773" s="12">
        <v>26643</v>
      </c>
      <c r="D773" s="4" t="s">
        <v>1414</v>
      </c>
      <c r="E773" s="4" t="s">
        <v>1415</v>
      </c>
      <c r="F773" s="4" t="str">
        <f>IF(separador &gt; 0, LEFT(E773,separador - 1), E773)</f>
        <v>72 St Paul Ave.</v>
      </c>
      <c r="G773" s="4" t="str">
        <f>IF(separador &gt; 0, RIGHT(E773,largo -separador - 1),"-")</f>
        <v>-</v>
      </c>
      <c r="H773" s="4" t="s">
        <v>3878</v>
      </c>
      <c r="I773" s="4" t="s">
        <v>2894</v>
      </c>
      <c r="J773" s="13">
        <v>43606.516145833331</v>
      </c>
      <c r="K773" s="4" t="s">
        <v>3671</v>
      </c>
      <c r="M773" s="4">
        <f>IFERROR(FIND(",",E773),0)</f>
        <v>0</v>
      </c>
      <c r="N773" s="4">
        <f>LEN(E773)</f>
        <v>15</v>
      </c>
    </row>
    <row r="774" spans="1:14" outlineLevel="2" x14ac:dyDescent="0.3">
      <c r="A774" t="s">
        <v>4965</v>
      </c>
      <c r="B774" t="s">
        <v>293</v>
      </c>
      <c r="C774" s="1">
        <v>26643</v>
      </c>
      <c r="D774" t="s">
        <v>1580</v>
      </c>
      <c r="E774" t="s">
        <v>1581</v>
      </c>
      <c r="F774" t="str">
        <f>IF(separador &gt; 0, LEFT(E774,separador - 1), E774)</f>
        <v>735 Spruce Ave.</v>
      </c>
      <c r="G774" t="str">
        <f>IF(separador &gt; 0, RIGHT(E774,largo -separador - 1),"-")</f>
        <v>-</v>
      </c>
      <c r="H774" t="s">
        <v>3961</v>
      </c>
      <c r="I774" t="s">
        <v>2976</v>
      </c>
      <c r="J774" s="2">
        <v>43040.732488425929</v>
      </c>
      <c r="K774" t="s">
        <v>3671</v>
      </c>
      <c r="M774">
        <f>IFERROR(FIND(",",E774),0)</f>
        <v>0</v>
      </c>
      <c r="N774">
        <f>LEN(E774)</f>
        <v>15</v>
      </c>
    </row>
    <row r="775" spans="1:14" outlineLevel="2" x14ac:dyDescent="0.3">
      <c r="A775" s="4" t="s">
        <v>5670</v>
      </c>
      <c r="B775" s="4" t="s">
        <v>998</v>
      </c>
      <c r="C775" s="12">
        <v>26540</v>
      </c>
      <c r="D775" s="4" t="s">
        <v>2685</v>
      </c>
      <c r="E775" s="4" t="s">
        <v>2562</v>
      </c>
      <c r="F775" s="4" t="str">
        <f>IF(separador &gt; 0, LEFT(E775,separador - 1), E775)</f>
        <v>Brooklyn</v>
      </c>
      <c r="G775" s="4" t="str">
        <f>IF(separador &gt; 0, RIGHT(E775,largo -separador - 1),"-")</f>
        <v>NY 11201</v>
      </c>
      <c r="H775" s="4" t="s">
        <v>4666</v>
      </c>
      <c r="I775" s="4" t="s">
        <v>3662</v>
      </c>
      <c r="J775" s="13">
        <v>41516.643159722225</v>
      </c>
      <c r="K775" s="4" t="s">
        <v>3671</v>
      </c>
      <c r="M775" s="4">
        <f>IFERROR(FIND(",",E775),0)</f>
        <v>9</v>
      </c>
      <c r="N775" s="4">
        <f>LEN(E775)</f>
        <v>18</v>
      </c>
    </row>
    <row r="776" spans="1:14" outlineLevel="2" x14ac:dyDescent="0.3">
      <c r="A776" t="s">
        <v>5614</v>
      </c>
      <c r="B776" t="s">
        <v>942</v>
      </c>
      <c r="C776" s="1">
        <v>26493</v>
      </c>
      <c r="D776" t="s">
        <v>2629</v>
      </c>
      <c r="E776" t="s">
        <v>2411</v>
      </c>
      <c r="F776" t="str">
        <f>IF(separador &gt; 0, LEFT(E776,separador - 1), E776)</f>
        <v>Bronx</v>
      </c>
      <c r="G776" t="str">
        <f>IF(separador &gt; 0, RIGHT(E776,largo -separador - 1),"-")</f>
        <v>NY 10458</v>
      </c>
      <c r="H776" t="s">
        <v>4610</v>
      </c>
      <c r="I776" t="s">
        <v>3611</v>
      </c>
      <c r="J776" s="2">
        <v>43342.646655092591</v>
      </c>
      <c r="K776" t="s">
        <v>3671</v>
      </c>
      <c r="M776">
        <f>IFERROR(FIND(",",E776),0)</f>
        <v>6</v>
      </c>
      <c r="N776">
        <f>LEN(E776)</f>
        <v>15</v>
      </c>
    </row>
    <row r="777" spans="1:14" outlineLevel="2" x14ac:dyDescent="0.3">
      <c r="A777" s="4" t="s">
        <v>5524</v>
      </c>
      <c r="B777" s="4" t="s">
        <v>852</v>
      </c>
      <c r="C777" s="12">
        <v>26398</v>
      </c>
      <c r="D777" s="4" t="s">
        <v>2505</v>
      </c>
      <c r="E777" s="4" t="s">
        <v>2506</v>
      </c>
      <c r="F777" s="4" t="str">
        <f>IF(separador &gt; 0, LEFT(E777,separador - 1), E777)</f>
        <v>Brooklyn</v>
      </c>
      <c r="G777" s="4" t="str">
        <f>IF(separador &gt; 0, RIGHT(E777,largo -separador - 1),"-")</f>
        <v>NY 11219</v>
      </c>
      <c r="H777" s="4" t="s">
        <v>4520</v>
      </c>
      <c r="I777" s="4" t="s">
        <v>3522</v>
      </c>
      <c r="J777" s="13">
        <v>43341.440983796296</v>
      </c>
      <c r="K777" s="4" t="s">
        <v>3671</v>
      </c>
      <c r="M777" s="4">
        <f>IFERROR(FIND(",",E777),0)</f>
        <v>9</v>
      </c>
      <c r="N777" s="4">
        <f>LEN(E777)</f>
        <v>18</v>
      </c>
    </row>
    <row r="778" spans="1:14" outlineLevel="2" x14ac:dyDescent="0.3">
      <c r="A778" t="s">
        <v>5311</v>
      </c>
      <c r="B778" t="s">
        <v>639</v>
      </c>
      <c r="C778" s="1">
        <v>26375</v>
      </c>
      <c r="D778" t="s">
        <v>2167</v>
      </c>
      <c r="E778" t="s">
        <v>1960</v>
      </c>
      <c r="F778" t="str">
        <f>IF(separador &gt; 0, LEFT(E778,separador - 1), E778)</f>
        <v>London</v>
      </c>
      <c r="G778" t="str">
        <f>IF(separador &gt; 0, RIGHT(E778,largo -separador - 1),"-")</f>
        <v>-</v>
      </c>
      <c r="H778" t="s">
        <v>4307</v>
      </c>
      <c r="I778" t="s">
        <v>3316</v>
      </c>
      <c r="J778" s="2">
        <v>40949.313657407409</v>
      </c>
      <c r="K778" t="s">
        <v>3671</v>
      </c>
      <c r="M778">
        <f>IFERROR(FIND(",",E778),0)</f>
        <v>0</v>
      </c>
      <c r="N778">
        <f>LEN(E778)</f>
        <v>6</v>
      </c>
    </row>
    <row r="779" spans="1:14" outlineLevel="2" x14ac:dyDescent="0.3">
      <c r="A779" s="4" t="s">
        <v>5073</v>
      </c>
      <c r="B779" s="4" t="s">
        <v>401</v>
      </c>
      <c r="C779" s="12">
        <v>26356</v>
      </c>
      <c r="D779" s="4" t="s">
        <v>1796</v>
      </c>
      <c r="E779" s="4" t="s">
        <v>1797</v>
      </c>
      <c r="F779" s="4" t="str">
        <f>IF(separador &gt; 0, LEFT(E779,separador - 1), E779)</f>
        <v>176B South Victoria Drive</v>
      </c>
      <c r="G779" s="4" t="str">
        <f>IF(separador &gt; 0, RIGHT(E779,largo -separador - 1),"-")</f>
        <v>-</v>
      </c>
      <c r="H779" s="4" t="s">
        <v>4069</v>
      </c>
      <c r="I779" s="4" t="s">
        <v>3083</v>
      </c>
      <c r="J779" s="13">
        <v>39216.397812499999</v>
      </c>
      <c r="K779" s="4" t="s">
        <v>3671</v>
      </c>
      <c r="M779" s="4">
        <f>IFERROR(FIND(",",E779),0)</f>
        <v>0</v>
      </c>
      <c r="N779" s="4">
        <f>LEN(E779)</f>
        <v>25</v>
      </c>
    </row>
    <row r="780" spans="1:14" outlineLevel="2" x14ac:dyDescent="0.3">
      <c r="A780" t="s">
        <v>5016</v>
      </c>
      <c r="B780" t="s">
        <v>344</v>
      </c>
      <c r="C780" s="1">
        <v>26257</v>
      </c>
      <c r="D780" t="s">
        <v>1682</v>
      </c>
      <c r="E780" t="s">
        <v>1683</v>
      </c>
      <c r="F780" t="str">
        <f>IF(separador &gt; 0, LEFT(E780,separador - 1), E780)</f>
        <v>83 8th St.</v>
      </c>
      <c r="G780" t="str">
        <f>IF(separador &gt; 0, RIGHT(E780,largo -separador - 1),"-")</f>
        <v>-</v>
      </c>
      <c r="H780" t="s">
        <v>4012</v>
      </c>
      <c r="I780" t="s">
        <v>3026</v>
      </c>
      <c r="J780" s="2">
        <v>41208.087465277778</v>
      </c>
      <c r="K780" t="s">
        <v>3671</v>
      </c>
      <c r="M780">
        <f>IFERROR(FIND(",",E780),0)</f>
        <v>0</v>
      </c>
      <c r="N780">
        <f>LEN(E780)</f>
        <v>10</v>
      </c>
    </row>
    <row r="781" spans="1:14" outlineLevel="2" x14ac:dyDescent="0.3">
      <c r="A781" s="4" t="s">
        <v>5347</v>
      </c>
      <c r="B781" s="4" t="s">
        <v>675</v>
      </c>
      <c r="C781" s="12">
        <v>26242</v>
      </c>
      <c r="D781" s="4" t="s">
        <v>2215</v>
      </c>
      <c r="E781" s="4" t="s">
        <v>1960</v>
      </c>
      <c r="F781" s="4" t="str">
        <f>IF(separador &gt; 0, LEFT(E781,separador - 1), E781)</f>
        <v>London</v>
      </c>
      <c r="G781" s="4" t="str">
        <f>IF(separador &gt; 0, RIGHT(E781,largo -separador - 1),"-")</f>
        <v>-</v>
      </c>
      <c r="H781" s="4" t="s">
        <v>4343</v>
      </c>
      <c r="I781" s="4" t="s">
        <v>3351</v>
      </c>
      <c r="J781" s="13">
        <v>44045.210659722223</v>
      </c>
      <c r="K781" s="4" t="s">
        <v>3671</v>
      </c>
      <c r="M781" s="4">
        <f>IFERROR(FIND(",",E781),0)</f>
        <v>0</v>
      </c>
      <c r="N781" s="4">
        <f>LEN(E781)</f>
        <v>6</v>
      </c>
    </row>
    <row r="782" spans="1:14" outlineLevel="2" x14ac:dyDescent="0.3">
      <c r="A782" t="s">
        <v>5159</v>
      </c>
      <c r="B782" t="s">
        <v>487</v>
      </c>
      <c r="C782" s="1">
        <v>26094</v>
      </c>
      <c r="D782" t="s">
        <v>1965</v>
      </c>
      <c r="E782" t="s">
        <v>1966</v>
      </c>
      <c r="F782" t="str">
        <f>IF(separador &gt; 0, LEFT(E782,separador - 1), E782)</f>
        <v>45 Park Road</v>
      </c>
      <c r="G782" t="str">
        <f>IF(separador &gt; 0, RIGHT(E782,largo -separador - 1),"-")</f>
        <v>-</v>
      </c>
      <c r="H782" t="s">
        <v>4155</v>
      </c>
      <c r="I782" t="s">
        <v>3167</v>
      </c>
      <c r="J782" s="2">
        <v>39320.320532407408</v>
      </c>
      <c r="K782" t="s">
        <v>3671</v>
      </c>
      <c r="M782">
        <f>IFERROR(FIND(",",E782),0)</f>
        <v>0</v>
      </c>
      <c r="N782">
        <f>LEN(E782)</f>
        <v>12</v>
      </c>
    </row>
    <row r="783" spans="1:14" outlineLevel="2" x14ac:dyDescent="0.3">
      <c r="A783" s="4" t="s">
        <v>4739</v>
      </c>
      <c r="B783" s="4" t="s">
        <v>67</v>
      </c>
      <c r="C783" s="12">
        <v>26064</v>
      </c>
      <c r="D783" s="4" t="s">
        <v>1128</v>
      </c>
      <c r="E783" s="4" t="s">
        <v>1129</v>
      </c>
      <c r="F783" s="4" t="str">
        <f>IF(separador &gt; 0, LEFT(E783,separador - 1), E783)</f>
        <v>9645 Queensway</v>
      </c>
      <c r="G783" s="4" t="str">
        <f>IF(separador &gt; 0, RIGHT(E783,largo -separador - 1),"-")</f>
        <v>-</v>
      </c>
      <c r="H783" s="4" t="s">
        <v>3735</v>
      </c>
      <c r="I783" s="4" t="s">
        <v>2753</v>
      </c>
      <c r="J783" s="13">
        <v>40462.889502314814</v>
      </c>
      <c r="K783" s="4" t="s">
        <v>3671</v>
      </c>
      <c r="M783" s="4">
        <f>IFERROR(FIND(",",E783),0)</f>
        <v>0</v>
      </c>
      <c r="N783" s="4">
        <f>LEN(E783)</f>
        <v>14</v>
      </c>
    </row>
    <row r="784" spans="1:14" outlineLevel="2" x14ac:dyDescent="0.3">
      <c r="A784" t="s">
        <v>5222</v>
      </c>
      <c r="B784" t="s">
        <v>550</v>
      </c>
      <c r="C784" s="1">
        <v>25988</v>
      </c>
      <c r="D784" t="s">
        <v>2048</v>
      </c>
      <c r="E784" t="s">
        <v>2049</v>
      </c>
      <c r="F784" t="str">
        <f>IF(separador &gt; 0, LEFT(E784,separador - 1), E784)</f>
        <v>9541 The Avenue</v>
      </c>
      <c r="G784" t="str">
        <f>IF(separador &gt; 0, RIGHT(E784,largo -separador - 1),"-")</f>
        <v>-</v>
      </c>
      <c r="H784" t="s">
        <v>4218</v>
      </c>
      <c r="I784" t="s">
        <v>3230</v>
      </c>
      <c r="J784" s="2">
        <v>43932.051412037035</v>
      </c>
      <c r="K784" t="s">
        <v>3671</v>
      </c>
      <c r="M784">
        <f>IFERROR(FIND(",",E784),0)</f>
        <v>0</v>
      </c>
      <c r="N784">
        <f>LEN(E784)</f>
        <v>15</v>
      </c>
    </row>
    <row r="785" spans="1:14" outlineLevel="2" x14ac:dyDescent="0.3">
      <c r="A785" s="4" t="s">
        <v>5390</v>
      </c>
      <c r="B785" s="4" t="s">
        <v>718</v>
      </c>
      <c r="C785" s="12">
        <v>25985</v>
      </c>
      <c r="D785" s="4" t="s">
        <v>2271</v>
      </c>
      <c r="E785" s="4" t="s">
        <v>2272</v>
      </c>
      <c r="F785" s="4" t="str">
        <f>IF(separador &gt; 0, LEFT(E785,separador - 1), E785)</f>
        <v>5 Mill Road</v>
      </c>
      <c r="G785" s="4" t="str">
        <f>IF(separador &gt; 0, RIGHT(E785,largo -separador - 1),"-")</f>
        <v>-</v>
      </c>
      <c r="H785" s="4" t="s">
        <v>4386</v>
      </c>
      <c r="I785" s="4" t="s">
        <v>3393</v>
      </c>
      <c r="J785" s="13">
        <v>43912.749490740738</v>
      </c>
      <c r="K785" s="4" t="s">
        <v>3671</v>
      </c>
      <c r="M785" s="4">
        <f>IFERROR(FIND(",",E785),0)</f>
        <v>0</v>
      </c>
      <c r="N785" s="4">
        <f>LEN(E785)</f>
        <v>11</v>
      </c>
    </row>
    <row r="786" spans="1:14" outlineLevel="2" x14ac:dyDescent="0.3">
      <c r="A786" t="s">
        <v>4711</v>
      </c>
      <c r="B786" t="s">
        <v>39</v>
      </c>
      <c r="C786" s="1">
        <v>25830</v>
      </c>
      <c r="D786" t="s">
        <v>1072</v>
      </c>
      <c r="E786" t="s">
        <v>1073</v>
      </c>
      <c r="F786" t="str">
        <f>IF(separador &gt; 0, LEFT(E786,separador - 1), E786)</f>
        <v>Dothan</v>
      </c>
      <c r="G786" t="str">
        <f>IF(separador &gt; 0, RIGHT(E786,largo -separador - 1),"-")</f>
        <v>AL 36301</v>
      </c>
      <c r="H786" t="s">
        <v>3707</v>
      </c>
      <c r="I786" t="s">
        <v>2725</v>
      </c>
      <c r="J786" s="2">
        <v>39093.650601851848</v>
      </c>
      <c r="K786" t="s">
        <v>3671</v>
      </c>
      <c r="M786">
        <f>IFERROR(FIND(",",E786),0)</f>
        <v>7</v>
      </c>
      <c r="N786">
        <f>LEN(E786)</f>
        <v>16</v>
      </c>
    </row>
    <row r="787" spans="1:14" outlineLevel="2" x14ac:dyDescent="0.3">
      <c r="A787" s="4" t="s">
        <v>5180</v>
      </c>
      <c r="B787" s="4" t="s">
        <v>508</v>
      </c>
      <c r="C787" s="12">
        <v>25819</v>
      </c>
      <c r="D787" s="4" t="s">
        <v>1993</v>
      </c>
      <c r="E787" s="4" t="s">
        <v>1994</v>
      </c>
      <c r="F787" s="4" t="str">
        <f>IF(separador &gt; 0, LEFT(E787,separador - 1), E787)</f>
        <v>78 Queens Road</v>
      </c>
      <c r="G787" s="4" t="str">
        <f>IF(separador &gt; 0, RIGHT(E787,largo -separador - 1),"-")</f>
        <v>-</v>
      </c>
      <c r="H787" s="4" t="s">
        <v>4176</v>
      </c>
      <c r="I787" s="4" t="s">
        <v>3188</v>
      </c>
      <c r="J787" s="13">
        <v>40231.861921296295</v>
      </c>
      <c r="K787" s="4" t="s">
        <v>3671</v>
      </c>
      <c r="M787" s="4">
        <f>IFERROR(FIND(",",E787),0)</f>
        <v>0</v>
      </c>
      <c r="N787" s="4">
        <f>LEN(E787)</f>
        <v>14</v>
      </c>
    </row>
    <row r="788" spans="1:14" outlineLevel="2" x14ac:dyDescent="0.3">
      <c r="A788" t="s">
        <v>5170</v>
      </c>
      <c r="B788" t="s">
        <v>498</v>
      </c>
      <c r="C788" s="1">
        <v>25733</v>
      </c>
      <c r="D788" t="s">
        <v>1980</v>
      </c>
      <c r="E788" t="s">
        <v>1960</v>
      </c>
      <c r="F788" t="str">
        <f>IF(separador &gt; 0, LEFT(E788,separador - 1), E788)</f>
        <v>London</v>
      </c>
      <c r="G788" t="str">
        <f>IF(separador &gt; 0, RIGHT(E788,largo -separador - 1),"-")</f>
        <v>-</v>
      </c>
      <c r="H788" t="s">
        <v>4166</v>
      </c>
      <c r="I788" t="s">
        <v>3178</v>
      </c>
      <c r="J788" s="2">
        <v>42296.47215277778</v>
      </c>
      <c r="K788" t="s">
        <v>3671</v>
      </c>
      <c r="M788">
        <f>IFERROR(FIND(",",E788),0)</f>
        <v>0</v>
      </c>
      <c r="N788">
        <f>LEN(E788)</f>
        <v>6</v>
      </c>
    </row>
    <row r="789" spans="1:14" outlineLevel="2" x14ac:dyDescent="0.3">
      <c r="A789" s="4" t="s">
        <v>5357</v>
      </c>
      <c r="B789" s="4" t="s">
        <v>685</v>
      </c>
      <c r="C789" s="12">
        <v>25705</v>
      </c>
      <c r="D789" s="4" t="s">
        <v>2228</v>
      </c>
      <c r="E789" s="4" t="s">
        <v>2229</v>
      </c>
      <c r="F789" s="4" t="str">
        <f>IF(separador &gt; 0, LEFT(E789,separador - 1), E789)</f>
        <v>9 Stanley Road</v>
      </c>
      <c r="G789" s="4" t="str">
        <f>IF(separador &gt; 0, RIGHT(E789,largo -separador - 1),"-")</f>
        <v>-</v>
      </c>
      <c r="H789" s="4" t="s">
        <v>4353</v>
      </c>
      <c r="I789" s="4" t="s">
        <v>3361</v>
      </c>
      <c r="J789" s="13">
        <v>39576.140636574077</v>
      </c>
      <c r="K789" s="4" t="s">
        <v>3671</v>
      </c>
      <c r="M789" s="4">
        <f>IFERROR(FIND(",",E789),0)</f>
        <v>0</v>
      </c>
      <c r="N789" s="4">
        <f>LEN(E789)</f>
        <v>14</v>
      </c>
    </row>
    <row r="790" spans="1:14" outlineLevel="2" x14ac:dyDescent="0.3">
      <c r="A790" t="s">
        <v>5018</v>
      </c>
      <c r="B790" t="s">
        <v>346</v>
      </c>
      <c r="C790" s="1">
        <v>25702</v>
      </c>
      <c r="D790" t="s">
        <v>1686</v>
      </c>
      <c r="E790" t="s">
        <v>1687</v>
      </c>
      <c r="F790" t="str">
        <f>IF(separador &gt; 0, LEFT(E790,separador - 1), E790)</f>
        <v>9505 Sutor Dr.</v>
      </c>
      <c r="G790" t="str">
        <f>IF(separador &gt; 0, RIGHT(E790,largo -separador - 1),"-")</f>
        <v>-</v>
      </c>
      <c r="H790" t="s">
        <v>4014</v>
      </c>
      <c r="I790" t="s">
        <v>3028</v>
      </c>
      <c r="J790" s="2">
        <v>41803.757210648146</v>
      </c>
      <c r="K790" t="s">
        <v>3671</v>
      </c>
      <c r="M790">
        <f>IFERROR(FIND(",",E790),0)</f>
        <v>0</v>
      </c>
      <c r="N790">
        <f>LEN(E790)</f>
        <v>14</v>
      </c>
    </row>
    <row r="791" spans="1:14" outlineLevel="2" x14ac:dyDescent="0.3">
      <c r="A791" s="4" t="s">
        <v>5011</v>
      </c>
      <c r="B791" s="4" t="s">
        <v>339</v>
      </c>
      <c r="C791" s="12">
        <v>25675</v>
      </c>
      <c r="D791" s="4" t="s">
        <v>1672</v>
      </c>
      <c r="E791" s="4" t="s">
        <v>1673</v>
      </c>
      <c r="F791" s="4" t="str">
        <f>IF(separador &gt; 0, LEFT(E791,separador - 1), E791)</f>
        <v>9447 Jackson Court</v>
      </c>
      <c r="G791" s="4" t="str">
        <f>IF(separador &gt; 0, RIGHT(E791,largo -separador - 1),"-")</f>
        <v>-</v>
      </c>
      <c r="H791" s="4" t="s">
        <v>4007</v>
      </c>
      <c r="I791" s="4" t="s">
        <v>3021</v>
      </c>
      <c r="J791" s="13">
        <v>40066.363703703704</v>
      </c>
      <c r="K791" s="4" t="s">
        <v>3671</v>
      </c>
      <c r="M791" s="4">
        <f>IFERROR(FIND(",",E791),0)</f>
        <v>0</v>
      </c>
      <c r="N791" s="4">
        <f>LEN(E791)</f>
        <v>18</v>
      </c>
    </row>
    <row r="792" spans="1:14" outlineLevel="2" x14ac:dyDescent="0.3">
      <c r="A792" t="s">
        <v>4981</v>
      </c>
      <c r="B792" t="s">
        <v>309</v>
      </c>
      <c r="C792" s="1">
        <v>25640</v>
      </c>
      <c r="D792" t="s">
        <v>1612</v>
      </c>
      <c r="E792" t="s">
        <v>1613</v>
      </c>
      <c r="F792" t="str">
        <f>IF(separador &gt; 0, LEFT(E792,separador - 1), E792)</f>
        <v>42 Johnson Dr.</v>
      </c>
      <c r="G792" t="str">
        <f>IF(separador &gt; 0, RIGHT(E792,largo -separador - 1),"-")</f>
        <v>-</v>
      </c>
      <c r="H792" t="s">
        <v>3977</v>
      </c>
      <c r="I792" t="s">
        <v>2991</v>
      </c>
      <c r="J792" s="2">
        <v>40036.945949074077</v>
      </c>
      <c r="K792" t="s">
        <v>3671</v>
      </c>
      <c r="M792">
        <f>IFERROR(FIND(",",E792),0)</f>
        <v>0</v>
      </c>
      <c r="N792">
        <f>LEN(E792)</f>
        <v>14</v>
      </c>
    </row>
    <row r="793" spans="1:14" outlineLevel="2" x14ac:dyDescent="0.3">
      <c r="A793" s="4" t="s">
        <v>4810</v>
      </c>
      <c r="B793" s="4" t="s">
        <v>138</v>
      </c>
      <c r="C793" s="12">
        <v>25628</v>
      </c>
      <c r="D793" s="4" t="s">
        <v>1270</v>
      </c>
      <c r="E793" s="4" t="s">
        <v>1271</v>
      </c>
      <c r="F793" s="4" t="str">
        <f>IF(separador &gt; 0, LEFT(E793,separador - 1), E793)</f>
        <v>Fremont</v>
      </c>
      <c r="G793" s="4" t="str">
        <f>IF(separador &gt; 0, RIGHT(E793,largo -separador - 1),"-")</f>
        <v>CA 94538</v>
      </c>
      <c r="H793" s="4" t="s">
        <v>3806</v>
      </c>
      <c r="I793" s="4" t="s">
        <v>2824</v>
      </c>
      <c r="J793" s="13">
        <v>39347.689259259256</v>
      </c>
      <c r="K793" s="4" t="s">
        <v>3671</v>
      </c>
      <c r="M793" s="4">
        <f>IFERROR(FIND(",",E793),0)</f>
        <v>8</v>
      </c>
      <c r="N793" s="4">
        <f>LEN(E793)</f>
        <v>17</v>
      </c>
    </row>
    <row r="794" spans="1:14" outlineLevel="2" x14ac:dyDescent="0.3">
      <c r="A794" t="s">
        <v>4881</v>
      </c>
      <c r="B794" t="s">
        <v>209</v>
      </c>
      <c r="C794" s="1">
        <v>25615</v>
      </c>
      <c r="D794" t="s">
        <v>1412</v>
      </c>
      <c r="E794" t="s">
        <v>1413</v>
      </c>
      <c r="F794" t="str">
        <f>IF(separador &gt; 0, LEFT(E794,separador - 1), E794)</f>
        <v>7371 Wrangler Street</v>
      </c>
      <c r="G794" t="str">
        <f>IF(separador &gt; 0, RIGHT(E794,largo -separador - 1),"-")</f>
        <v>-</v>
      </c>
      <c r="H794" t="s">
        <v>3877</v>
      </c>
      <c r="I794" t="s">
        <v>2893</v>
      </c>
      <c r="J794" s="2">
        <v>43122.329305555555</v>
      </c>
      <c r="K794" t="s">
        <v>3671</v>
      </c>
      <c r="M794">
        <f>IFERROR(FIND(",",E794),0)</f>
        <v>0</v>
      </c>
      <c r="N794">
        <f>LEN(E794)</f>
        <v>20</v>
      </c>
    </row>
    <row r="795" spans="1:14" outlineLevel="2" x14ac:dyDescent="0.3">
      <c r="A795" s="4" t="s">
        <v>4787</v>
      </c>
      <c r="B795" s="4" t="s">
        <v>115</v>
      </c>
      <c r="C795" s="12">
        <v>25591</v>
      </c>
      <c r="D795" s="4" t="s">
        <v>1224</v>
      </c>
      <c r="E795" s="4" t="s">
        <v>1225</v>
      </c>
      <c r="F795" s="4" t="str">
        <f>IF(separador &gt; 0, LEFT(E795,separador - 1), E795)</f>
        <v>217 Park Lane</v>
      </c>
      <c r="G795" s="4" t="str">
        <f>IF(separador &gt; 0, RIGHT(E795,largo -separador - 1),"-")</f>
        <v>-</v>
      </c>
      <c r="H795" s="4" t="s">
        <v>3783</v>
      </c>
      <c r="I795" s="4" t="s">
        <v>2801</v>
      </c>
      <c r="J795" s="13">
        <v>43441.407743055555</v>
      </c>
      <c r="K795" s="4" t="s">
        <v>3671</v>
      </c>
      <c r="M795" s="4">
        <f>IFERROR(FIND(",",E795),0)</f>
        <v>0</v>
      </c>
      <c r="N795" s="4">
        <f>LEN(E795)</f>
        <v>13</v>
      </c>
    </row>
    <row r="796" spans="1:14" outlineLevel="1" x14ac:dyDescent="0.3">
      <c r="A796" s="4"/>
      <c r="B796" s="4"/>
      <c r="C796" s="12"/>
      <c r="D796" s="4"/>
      <c r="E796" s="4"/>
      <c r="F796" s="4"/>
      <c r="G796" s="4"/>
      <c r="H796" s="4"/>
      <c r="I796" s="4"/>
      <c r="J796" s="16" t="s">
        <v>5683</v>
      </c>
      <c r="K796" s="4">
        <f>SUBTOTAL(3,K593:K795)</f>
        <v>203</v>
      </c>
      <c r="M796" s="4"/>
      <c r="N796" s="4"/>
    </row>
    <row r="797" spans="1:14" outlineLevel="2" x14ac:dyDescent="0.3">
      <c r="A797" t="s">
        <v>5655</v>
      </c>
      <c r="B797" t="s">
        <v>983</v>
      </c>
      <c r="C797" s="1">
        <v>36490</v>
      </c>
      <c r="D797" t="s">
        <v>2670</v>
      </c>
      <c r="E797" t="s">
        <v>2366</v>
      </c>
      <c r="F797" t="str">
        <f>IF(separador &gt; 0, LEFT(E797,separador - 1), E797)</f>
        <v>Brooklyn</v>
      </c>
      <c r="G797" t="str">
        <f>IF(separador &gt; 0, RIGHT(E797,largo -separador - 1),"-")</f>
        <v>NY 11212</v>
      </c>
      <c r="H797" t="s">
        <v>4651</v>
      </c>
      <c r="I797" t="s">
        <v>3649</v>
      </c>
      <c r="J797" s="2">
        <v>43410.436921296299</v>
      </c>
      <c r="K797" t="s">
        <v>3672</v>
      </c>
      <c r="M797">
        <f>IFERROR(FIND(",",E797),0)</f>
        <v>9</v>
      </c>
      <c r="N797">
        <f>LEN(E797)</f>
        <v>18</v>
      </c>
    </row>
    <row r="798" spans="1:14" outlineLevel="2" x14ac:dyDescent="0.3">
      <c r="A798" s="4" t="s">
        <v>4993</v>
      </c>
      <c r="B798" s="4" t="s">
        <v>321</v>
      </c>
      <c r="C798" s="12">
        <v>36357</v>
      </c>
      <c r="D798" s="4" t="s">
        <v>1636</v>
      </c>
      <c r="E798" s="4" t="s">
        <v>1637</v>
      </c>
      <c r="F798" s="4" t="str">
        <f>IF(separador &gt; 0, LEFT(E798,separador - 1), E798)</f>
        <v>20 Ivy St.</v>
      </c>
      <c r="G798" s="4" t="str">
        <f>IF(separador &gt; 0, RIGHT(E798,largo -separador - 1),"-")</f>
        <v>-</v>
      </c>
      <c r="H798" s="4" t="s">
        <v>3989</v>
      </c>
      <c r="I798" s="4" t="s">
        <v>3003</v>
      </c>
      <c r="J798" s="13">
        <v>42936.039826388886</v>
      </c>
      <c r="K798" s="4" t="s">
        <v>3672</v>
      </c>
      <c r="M798" s="4">
        <f>IFERROR(FIND(",",E798),0)</f>
        <v>0</v>
      </c>
      <c r="N798" s="4">
        <f>LEN(E798)</f>
        <v>10</v>
      </c>
    </row>
    <row r="799" spans="1:14" outlineLevel="2" x14ac:dyDescent="0.3">
      <c r="A799" t="s">
        <v>5070</v>
      </c>
      <c r="B799" t="s">
        <v>398</v>
      </c>
      <c r="C799" s="1">
        <v>36345</v>
      </c>
      <c r="D799" t="s">
        <v>1790</v>
      </c>
      <c r="E799" t="s">
        <v>1791</v>
      </c>
      <c r="F799" t="str">
        <f>IF(separador &gt; 0, LEFT(E799,separador - 1), E799)</f>
        <v>93 N. Schoolhouse Street</v>
      </c>
      <c r="G799" t="str">
        <f>IF(separador &gt; 0, RIGHT(E799,largo -separador - 1),"-")</f>
        <v>-</v>
      </c>
      <c r="H799" t="s">
        <v>4066</v>
      </c>
      <c r="I799" t="s">
        <v>3080</v>
      </c>
      <c r="J799" s="2">
        <v>41284.366493055553</v>
      </c>
      <c r="K799" t="s">
        <v>3672</v>
      </c>
      <c r="M799">
        <f>IFERROR(FIND(",",E799),0)</f>
        <v>0</v>
      </c>
      <c r="N799">
        <f>LEN(E799)</f>
        <v>24</v>
      </c>
    </row>
    <row r="800" spans="1:14" outlineLevel="2" x14ac:dyDescent="0.3">
      <c r="A800" s="4" t="s">
        <v>4786</v>
      </c>
      <c r="B800" s="4" t="s">
        <v>114</v>
      </c>
      <c r="C800" s="12">
        <v>36328</v>
      </c>
      <c r="D800" s="4" t="s">
        <v>1222</v>
      </c>
      <c r="E800" s="4" t="s">
        <v>1223</v>
      </c>
      <c r="F800" s="4" t="str">
        <f>IF(separador &gt; 0, LEFT(E800,separador - 1), E800)</f>
        <v>LIVERPOOL</v>
      </c>
      <c r="G800" s="4" t="str">
        <f>IF(separador &gt; 0, RIGHT(E800,largo -separador - 1),"-")</f>
        <v>-</v>
      </c>
      <c r="H800" s="4" t="s">
        <v>3782</v>
      </c>
      <c r="I800" s="4" t="s">
        <v>2800</v>
      </c>
      <c r="J800" s="13">
        <v>43889.649027777778</v>
      </c>
      <c r="K800" s="4" t="s">
        <v>3672</v>
      </c>
      <c r="M800" s="4">
        <f>IFERROR(FIND(",",E800),0)</f>
        <v>0</v>
      </c>
      <c r="N800" s="4">
        <f>LEN(E800)</f>
        <v>9</v>
      </c>
    </row>
    <row r="801" spans="1:14" outlineLevel="2" x14ac:dyDescent="0.3">
      <c r="A801" t="s">
        <v>5305</v>
      </c>
      <c r="B801" t="s">
        <v>633</v>
      </c>
      <c r="C801" s="1">
        <v>36321</v>
      </c>
      <c r="D801" t="s">
        <v>2159</v>
      </c>
      <c r="E801" t="s">
        <v>1960</v>
      </c>
      <c r="F801" t="str">
        <f>IF(separador &gt; 0, LEFT(E801,separador - 1), E801)</f>
        <v>London</v>
      </c>
      <c r="G801" t="str">
        <f>IF(separador &gt; 0, RIGHT(E801,largo -separador - 1),"-")</f>
        <v>-</v>
      </c>
      <c r="H801" t="s">
        <v>4301</v>
      </c>
      <c r="I801" t="s">
        <v>3310</v>
      </c>
      <c r="J801" s="2">
        <v>38608.433263888888</v>
      </c>
      <c r="K801" t="s">
        <v>3672</v>
      </c>
      <c r="M801">
        <f>IFERROR(FIND(",",E801),0)</f>
        <v>0</v>
      </c>
      <c r="N801">
        <f>LEN(E801)</f>
        <v>6</v>
      </c>
    </row>
    <row r="802" spans="1:14" outlineLevel="2" x14ac:dyDescent="0.3">
      <c r="A802" s="4" t="s">
        <v>5264</v>
      </c>
      <c r="B802" s="4" t="s">
        <v>592</v>
      </c>
      <c r="C802" s="12">
        <v>36283</v>
      </c>
      <c r="D802" s="4" t="s">
        <v>2104</v>
      </c>
      <c r="E802" s="4" t="s">
        <v>2105</v>
      </c>
      <c r="F802" s="4" t="str">
        <f>IF(separador &gt; 0, LEFT(E802,separador - 1), E802)</f>
        <v>78 Church Road</v>
      </c>
      <c r="G802" s="4" t="str">
        <f>IF(separador &gt; 0, RIGHT(E802,largo -separador - 1),"-")</f>
        <v>-</v>
      </c>
      <c r="H802" s="4" t="s">
        <v>4260</v>
      </c>
      <c r="I802" s="4" t="s">
        <v>3270</v>
      </c>
      <c r="J802" s="13">
        <v>40486.182800925926</v>
      </c>
      <c r="K802" s="4" t="s">
        <v>3672</v>
      </c>
      <c r="M802" s="4">
        <f>IFERROR(FIND(",",E802),0)</f>
        <v>0</v>
      </c>
      <c r="N802" s="4">
        <f>LEN(E802)</f>
        <v>14</v>
      </c>
    </row>
    <row r="803" spans="1:14" outlineLevel="2" x14ac:dyDescent="0.3">
      <c r="A803" t="s">
        <v>5615</v>
      </c>
      <c r="B803" t="s">
        <v>943</v>
      </c>
      <c r="C803" s="1">
        <v>36274</v>
      </c>
      <c r="D803" t="s">
        <v>2630</v>
      </c>
      <c r="E803" t="s">
        <v>2336</v>
      </c>
      <c r="F803" t="str">
        <f>IF(separador &gt; 0, LEFT(E803,separador - 1), E803)</f>
        <v>Freeport</v>
      </c>
      <c r="G803" t="str">
        <f>IF(separador &gt; 0, RIGHT(E803,largo -separador - 1),"-")</f>
        <v>NY 11520</v>
      </c>
      <c r="H803" t="s">
        <v>4611</v>
      </c>
      <c r="I803" t="s">
        <v>3612</v>
      </c>
      <c r="J803" s="2">
        <v>40402.806666666664</v>
      </c>
      <c r="K803" t="s">
        <v>3672</v>
      </c>
      <c r="M803">
        <f>IFERROR(FIND(",",E803),0)</f>
        <v>9</v>
      </c>
      <c r="N803">
        <f>LEN(E803)</f>
        <v>18</v>
      </c>
    </row>
    <row r="804" spans="1:14" outlineLevel="2" x14ac:dyDescent="0.3">
      <c r="A804" s="4" t="s">
        <v>4736</v>
      </c>
      <c r="B804" s="4" t="s">
        <v>64</v>
      </c>
      <c r="C804" s="12">
        <v>36212</v>
      </c>
      <c r="D804" s="4" t="s">
        <v>1122</v>
      </c>
      <c r="E804" s="4" t="s">
        <v>1123</v>
      </c>
      <c r="F804" s="4" t="str">
        <f>IF(separador &gt; 0, LEFT(E804,separador - 1), E804)</f>
        <v>146 Church Lane</v>
      </c>
      <c r="G804" s="4" t="str">
        <f>IF(separador &gt; 0, RIGHT(E804,largo -separador - 1),"-")</f>
        <v>-</v>
      </c>
      <c r="H804" s="4" t="s">
        <v>3732</v>
      </c>
      <c r="I804" s="4" t="s">
        <v>2750</v>
      </c>
      <c r="J804" s="13">
        <v>39528.279918981483</v>
      </c>
      <c r="K804" s="4" t="s">
        <v>3672</v>
      </c>
      <c r="M804" s="4">
        <f>IFERROR(FIND(",",E804),0)</f>
        <v>0</v>
      </c>
      <c r="N804" s="4">
        <f>LEN(E804)</f>
        <v>15</v>
      </c>
    </row>
    <row r="805" spans="1:14" outlineLevel="2" x14ac:dyDescent="0.3">
      <c r="A805" t="s">
        <v>5544</v>
      </c>
      <c r="B805" t="s">
        <v>872</v>
      </c>
      <c r="C805" s="1">
        <v>36159</v>
      </c>
      <c r="D805" t="s">
        <v>2545</v>
      </c>
      <c r="E805" t="s">
        <v>2546</v>
      </c>
      <c r="F805" t="str">
        <f>IF(separador &gt; 0, LEFT(E805,separador - 1), E805)</f>
        <v>Yonkers</v>
      </c>
      <c r="G805" t="str">
        <f>IF(separador &gt; 0, RIGHT(E805,largo -separador - 1),"-")</f>
        <v>NY 10701</v>
      </c>
      <c r="H805" t="s">
        <v>4540</v>
      </c>
      <c r="I805" t="s">
        <v>3542</v>
      </c>
      <c r="J805" s="2">
        <v>43134.556192129632</v>
      </c>
      <c r="K805" t="s">
        <v>3672</v>
      </c>
      <c r="M805">
        <f>IFERROR(FIND(",",E805),0)</f>
        <v>8</v>
      </c>
      <c r="N805">
        <f>LEN(E805)</f>
        <v>17</v>
      </c>
    </row>
    <row r="806" spans="1:14" outlineLevel="2" x14ac:dyDescent="0.3">
      <c r="A806" s="4" t="s">
        <v>5206</v>
      </c>
      <c r="B806" s="4" t="s">
        <v>534</v>
      </c>
      <c r="C806" s="12">
        <v>36127</v>
      </c>
      <c r="D806" s="4" t="s">
        <v>2028</v>
      </c>
      <c r="E806" s="4" t="s">
        <v>1960</v>
      </c>
      <c r="F806" s="4" t="str">
        <f>IF(separador &gt; 0, LEFT(E806,separador - 1), E806)</f>
        <v>London</v>
      </c>
      <c r="G806" s="4" t="str">
        <f>IF(separador &gt; 0, RIGHT(E806,largo -separador - 1),"-")</f>
        <v>-</v>
      </c>
      <c r="H806" s="4" t="s">
        <v>4202</v>
      </c>
      <c r="I806" s="4" t="s">
        <v>3214</v>
      </c>
      <c r="J806" s="13">
        <v>43151.250821759262</v>
      </c>
      <c r="K806" s="4" t="s">
        <v>3672</v>
      </c>
      <c r="M806" s="4">
        <f>IFERROR(FIND(",",E806),0)</f>
        <v>0</v>
      </c>
      <c r="N806" s="4">
        <f>LEN(E806)</f>
        <v>6</v>
      </c>
    </row>
    <row r="807" spans="1:14" outlineLevel="2" x14ac:dyDescent="0.3">
      <c r="A807" t="s">
        <v>5005</v>
      </c>
      <c r="B807" t="s">
        <v>333</v>
      </c>
      <c r="C807" s="1">
        <v>36108</v>
      </c>
      <c r="D807" t="s">
        <v>1660</v>
      </c>
      <c r="E807" t="s">
        <v>1661</v>
      </c>
      <c r="F807" t="str">
        <f>IF(separador &gt; 0, LEFT(E807,separador - 1), E807)</f>
        <v>20 West Gates St.</v>
      </c>
      <c r="G807" t="str">
        <f>IF(separador &gt; 0, RIGHT(E807,largo -separador - 1),"-")</f>
        <v>-</v>
      </c>
      <c r="H807" t="s">
        <v>4001</v>
      </c>
      <c r="I807" t="s">
        <v>3015</v>
      </c>
      <c r="J807" s="2">
        <v>40318.584016203706</v>
      </c>
      <c r="K807" t="s">
        <v>3672</v>
      </c>
      <c r="M807">
        <f>IFERROR(FIND(",",E807),0)</f>
        <v>0</v>
      </c>
      <c r="N807">
        <f>LEN(E807)</f>
        <v>17</v>
      </c>
    </row>
    <row r="808" spans="1:14" outlineLevel="2" x14ac:dyDescent="0.3">
      <c r="A808" s="4" t="s">
        <v>5389</v>
      </c>
      <c r="B808" s="4" t="s">
        <v>717</v>
      </c>
      <c r="C808" s="12">
        <v>36076</v>
      </c>
      <c r="D808" s="4" t="s">
        <v>2270</v>
      </c>
      <c r="E808" s="4" t="s">
        <v>1960</v>
      </c>
      <c r="F808" s="4" t="str">
        <f>IF(separador &gt; 0, LEFT(E808,separador - 1), E808)</f>
        <v>London</v>
      </c>
      <c r="G808" s="4" t="str">
        <f>IF(separador &gt; 0, RIGHT(E808,largo -separador - 1),"-")</f>
        <v>-</v>
      </c>
      <c r="H808" s="4" t="s">
        <v>4385</v>
      </c>
      <c r="I808" s="4" t="s">
        <v>3392</v>
      </c>
      <c r="J808" s="13">
        <v>40151.573206018518</v>
      </c>
      <c r="K808" s="4" t="s">
        <v>3672</v>
      </c>
      <c r="M808" s="4">
        <f>IFERROR(FIND(",",E808),0)</f>
        <v>0</v>
      </c>
      <c r="N808" s="4">
        <f>LEN(E808)</f>
        <v>6</v>
      </c>
    </row>
    <row r="809" spans="1:14" outlineLevel="2" x14ac:dyDescent="0.3">
      <c r="A809" t="s">
        <v>5260</v>
      </c>
      <c r="B809" t="s">
        <v>588</v>
      </c>
      <c r="C809" s="1">
        <v>36060</v>
      </c>
      <c r="D809" t="s">
        <v>2099</v>
      </c>
      <c r="E809" t="s">
        <v>1960</v>
      </c>
      <c r="F809" t="str">
        <f>IF(separador &gt; 0, LEFT(E809,separador - 1), E809)</f>
        <v>London</v>
      </c>
      <c r="G809" t="str">
        <f>IF(separador &gt; 0, RIGHT(E809,largo -separador - 1),"-")</f>
        <v>-</v>
      </c>
      <c r="H809" t="s">
        <v>4256</v>
      </c>
      <c r="I809" t="s">
        <v>3266</v>
      </c>
      <c r="J809" s="2">
        <v>38592.106006944443</v>
      </c>
      <c r="K809" t="s">
        <v>3672</v>
      </c>
      <c r="M809">
        <f>IFERROR(FIND(",",E809),0)</f>
        <v>0</v>
      </c>
      <c r="N809">
        <f>LEN(E809)</f>
        <v>6</v>
      </c>
    </row>
    <row r="810" spans="1:14" outlineLevel="2" x14ac:dyDescent="0.3">
      <c r="A810" s="4" t="s">
        <v>4832</v>
      </c>
      <c r="B810" s="4" t="s">
        <v>160</v>
      </c>
      <c r="C810" s="12">
        <v>35951</v>
      </c>
      <c r="D810" s="4" t="s">
        <v>1314</v>
      </c>
      <c r="E810" s="4" t="s">
        <v>1315</v>
      </c>
      <c r="F810" s="4" t="str">
        <f>IF(separador &gt; 0, LEFT(E810,separador - 1), E810)</f>
        <v>Sunnyvale</v>
      </c>
      <c r="G810" s="4" t="str">
        <f>IF(separador &gt; 0, RIGHT(E810,largo -separador - 1),"-")</f>
        <v>CA 94087</v>
      </c>
      <c r="H810" s="4" t="s">
        <v>3828</v>
      </c>
      <c r="I810" s="4" t="s">
        <v>2846</v>
      </c>
      <c r="J810" s="13">
        <v>38755.748518518521</v>
      </c>
      <c r="K810" s="4" t="s">
        <v>3672</v>
      </c>
      <c r="M810" s="4">
        <f>IFERROR(FIND(",",E810),0)</f>
        <v>10</v>
      </c>
      <c r="N810" s="4">
        <f>LEN(E810)</f>
        <v>19</v>
      </c>
    </row>
    <row r="811" spans="1:14" outlineLevel="2" x14ac:dyDescent="0.3">
      <c r="A811" t="s">
        <v>5427</v>
      </c>
      <c r="B811" t="s">
        <v>755</v>
      </c>
      <c r="C811" s="1">
        <v>35927</v>
      </c>
      <c r="D811" t="s">
        <v>1960</v>
      </c>
      <c r="E811" t="s">
        <v>2321</v>
      </c>
      <c r="F811" t="str">
        <f>IF(separador &gt; 0, LEFT(E811,separador - 1), E811)</f>
        <v>W75 0OS</v>
      </c>
      <c r="G811" t="str">
        <f>IF(separador &gt; 0, RIGHT(E811,largo -separador - 1),"-")</f>
        <v>-</v>
      </c>
      <c r="H811" t="s">
        <v>4423</v>
      </c>
      <c r="I811" t="s">
        <v>3428</v>
      </c>
      <c r="J811" s="2">
        <v>44280.695474537039</v>
      </c>
      <c r="K811" t="s">
        <v>3672</v>
      </c>
      <c r="M811">
        <f>IFERROR(FIND(",",E811),0)</f>
        <v>0</v>
      </c>
      <c r="N811">
        <f>LEN(E811)</f>
        <v>7</v>
      </c>
    </row>
    <row r="812" spans="1:14" outlineLevel="2" x14ac:dyDescent="0.3">
      <c r="A812" s="4" t="s">
        <v>5156</v>
      </c>
      <c r="B812" s="4" t="s">
        <v>484</v>
      </c>
      <c r="C812" s="12">
        <v>35915</v>
      </c>
      <c r="D812" s="4" t="s">
        <v>1961</v>
      </c>
      <c r="E812" s="4" t="s">
        <v>1962</v>
      </c>
      <c r="F812" s="4" t="str">
        <f>IF(separador &gt; 0, LEFT(E812,separador - 1), E812)</f>
        <v>135 Kingsway</v>
      </c>
      <c r="G812" s="4" t="str">
        <f>IF(separador &gt; 0, RIGHT(E812,largo -separador - 1),"-")</f>
        <v>-</v>
      </c>
      <c r="H812" s="4" t="s">
        <v>4152</v>
      </c>
      <c r="I812" s="4" t="s">
        <v>3165</v>
      </c>
      <c r="J812" s="13">
        <v>39375.977696759262</v>
      </c>
      <c r="K812" s="4" t="s">
        <v>3672</v>
      </c>
      <c r="M812" s="4">
        <f>IFERROR(FIND(",",E812),0)</f>
        <v>0</v>
      </c>
      <c r="N812" s="4">
        <f>LEN(E812)</f>
        <v>12</v>
      </c>
    </row>
    <row r="813" spans="1:14" outlineLevel="2" x14ac:dyDescent="0.3">
      <c r="A813" t="s">
        <v>5453</v>
      </c>
      <c r="B813" t="s">
        <v>781</v>
      </c>
      <c r="C813" s="1">
        <v>35884</v>
      </c>
      <c r="D813" t="s">
        <v>2365</v>
      </c>
      <c r="E813" t="s">
        <v>2366</v>
      </c>
      <c r="F813" t="str">
        <f>IF(separador &gt; 0, LEFT(E813,separador - 1), E813)</f>
        <v>Brooklyn</v>
      </c>
      <c r="G813" t="str">
        <f>IF(separador &gt; 0, RIGHT(E813,largo -separador - 1),"-")</f>
        <v>NY 11212</v>
      </c>
      <c r="H813" t="s">
        <v>4449</v>
      </c>
      <c r="I813" t="s">
        <v>3452</v>
      </c>
      <c r="J813" s="2">
        <v>43702.71197916667</v>
      </c>
      <c r="K813" t="s">
        <v>3672</v>
      </c>
      <c r="M813">
        <f>IFERROR(FIND(",",E813),0)</f>
        <v>9</v>
      </c>
      <c r="N813">
        <f>LEN(E813)</f>
        <v>18</v>
      </c>
    </row>
    <row r="814" spans="1:14" outlineLevel="2" x14ac:dyDescent="0.3">
      <c r="A814" s="4" t="s">
        <v>5351</v>
      </c>
      <c r="B814" s="4" t="s">
        <v>679</v>
      </c>
      <c r="C814" s="12">
        <v>35881</v>
      </c>
      <c r="D814" s="4" t="s">
        <v>2220</v>
      </c>
      <c r="E814" s="4" t="s">
        <v>2221</v>
      </c>
      <c r="F814" s="4" t="str">
        <f>IF(separador &gt; 0, LEFT(E814,separador - 1), E814)</f>
        <v>23 Main Road</v>
      </c>
      <c r="G814" s="4" t="str">
        <f>IF(separador &gt; 0, RIGHT(E814,largo -separador - 1),"-")</f>
        <v>-</v>
      </c>
      <c r="H814" s="4" t="s">
        <v>4347</v>
      </c>
      <c r="I814" s="4" t="s">
        <v>3355</v>
      </c>
      <c r="J814" s="13">
        <v>39306.225011574075</v>
      </c>
      <c r="K814" s="4" t="s">
        <v>3672</v>
      </c>
      <c r="M814" s="4">
        <f>IFERROR(FIND(",",E814),0)</f>
        <v>0</v>
      </c>
      <c r="N814" s="4">
        <f>LEN(E814)</f>
        <v>12</v>
      </c>
    </row>
    <row r="815" spans="1:14" outlineLevel="2" x14ac:dyDescent="0.3">
      <c r="A815" t="s">
        <v>4898</v>
      </c>
      <c r="B815" t="s">
        <v>226</v>
      </c>
      <c r="C815" s="1">
        <v>35851</v>
      </c>
      <c r="D815" t="s">
        <v>1446</v>
      </c>
      <c r="E815" t="s">
        <v>1447</v>
      </c>
      <c r="F815" t="str">
        <f>IF(separador &gt; 0, LEFT(E815,separador - 1), E815)</f>
        <v>714 Depot St.</v>
      </c>
      <c r="G815" t="str">
        <f>IF(separador &gt; 0, RIGHT(E815,largo -separador - 1),"-")</f>
        <v>-</v>
      </c>
      <c r="H815" t="s">
        <v>3894</v>
      </c>
      <c r="I815" t="s">
        <v>2909</v>
      </c>
      <c r="J815" s="2">
        <v>39005.642453703702</v>
      </c>
      <c r="K815" t="s">
        <v>3672</v>
      </c>
      <c r="M815">
        <f>IFERROR(FIND(",",E815),0)</f>
        <v>0</v>
      </c>
      <c r="N815">
        <f>LEN(E815)</f>
        <v>13</v>
      </c>
    </row>
    <row r="816" spans="1:14" outlineLevel="2" x14ac:dyDescent="0.3">
      <c r="A816" s="4" t="s">
        <v>5356</v>
      </c>
      <c r="B816" s="4" t="s">
        <v>684</v>
      </c>
      <c r="C816" s="12">
        <v>35829</v>
      </c>
      <c r="D816" s="4" t="s">
        <v>2227</v>
      </c>
      <c r="E816" s="4" t="s">
        <v>1960</v>
      </c>
      <c r="F816" s="4" t="str">
        <f>IF(separador &gt; 0, LEFT(E816,separador - 1), E816)</f>
        <v>London</v>
      </c>
      <c r="G816" s="4" t="str">
        <f>IF(separador &gt; 0, RIGHT(E816,largo -separador - 1),"-")</f>
        <v>-</v>
      </c>
      <c r="H816" s="4" t="s">
        <v>4352</v>
      </c>
      <c r="I816" s="4" t="s">
        <v>3360</v>
      </c>
      <c r="J816" s="13">
        <v>39202.26053240741</v>
      </c>
      <c r="K816" s="4" t="s">
        <v>3672</v>
      </c>
      <c r="M816" s="4">
        <f>IFERROR(FIND(",",E816),0)</f>
        <v>0</v>
      </c>
      <c r="N816" s="4">
        <f>LEN(E816)</f>
        <v>6</v>
      </c>
    </row>
    <row r="817" spans="1:14" outlineLevel="2" x14ac:dyDescent="0.3">
      <c r="A817" t="s">
        <v>5584</v>
      </c>
      <c r="B817" t="s">
        <v>912</v>
      </c>
      <c r="C817" s="1">
        <v>35811</v>
      </c>
      <c r="D817" t="s">
        <v>2599</v>
      </c>
      <c r="E817" t="s">
        <v>2470</v>
      </c>
      <c r="F817" t="str">
        <f>IF(separador &gt; 0, LEFT(E817,separador - 1), E817)</f>
        <v>Middletown</v>
      </c>
      <c r="G817" t="str">
        <f>IF(separador &gt; 0, RIGHT(E817,largo -separador - 1),"-")</f>
        <v>NY 10940</v>
      </c>
      <c r="H817" t="s">
        <v>4580</v>
      </c>
      <c r="I817" t="s">
        <v>3582</v>
      </c>
      <c r="J817" s="2">
        <v>38518.488703703704</v>
      </c>
      <c r="K817" t="s">
        <v>3672</v>
      </c>
      <c r="M817">
        <f>IFERROR(FIND(",",E817),0)</f>
        <v>11</v>
      </c>
      <c r="N817">
        <f>LEN(E817)</f>
        <v>20</v>
      </c>
    </row>
    <row r="818" spans="1:14" outlineLevel="2" x14ac:dyDescent="0.3">
      <c r="A818" s="4" t="s">
        <v>5072</v>
      </c>
      <c r="B818" s="4" t="s">
        <v>400</v>
      </c>
      <c r="C818" s="12">
        <v>35809</v>
      </c>
      <c r="D818" s="4" t="s">
        <v>1794</v>
      </c>
      <c r="E818" s="4" t="s">
        <v>1795</v>
      </c>
      <c r="F818" s="4" t="str">
        <f>IF(separador &gt; 0, LEFT(E818,separador - 1), E818)</f>
        <v>9 Arrowhead Street</v>
      </c>
      <c r="G818" s="4" t="str">
        <f>IF(separador &gt; 0, RIGHT(E818,largo -separador - 1),"-")</f>
        <v>-</v>
      </c>
      <c r="H818" s="4" t="s">
        <v>4068</v>
      </c>
      <c r="I818" s="4" t="s">
        <v>3082</v>
      </c>
      <c r="J818" s="13">
        <v>39474.19195601852</v>
      </c>
      <c r="K818" s="4" t="s">
        <v>3672</v>
      </c>
      <c r="M818" s="4">
        <f>IFERROR(FIND(",",E818),0)</f>
        <v>0</v>
      </c>
      <c r="N818" s="4">
        <f>LEN(E818)</f>
        <v>18</v>
      </c>
    </row>
    <row r="819" spans="1:14" outlineLevel="2" x14ac:dyDescent="0.3">
      <c r="A819" t="s">
        <v>4940</v>
      </c>
      <c r="B819" t="s">
        <v>268</v>
      </c>
      <c r="C819" s="1">
        <v>35800</v>
      </c>
      <c r="D819" t="s">
        <v>1530</v>
      </c>
      <c r="E819" t="s">
        <v>1531</v>
      </c>
      <c r="F819" t="str">
        <f>IF(separador &gt; 0, LEFT(E819,separador - 1), E819)</f>
        <v>871 Gainsway Drive</v>
      </c>
      <c r="G819" t="str">
        <f>IF(separador &gt; 0, RIGHT(E819,largo -separador - 1),"-")</f>
        <v>-</v>
      </c>
      <c r="H819" t="s">
        <v>3936</v>
      </c>
      <c r="I819" t="s">
        <v>2951</v>
      </c>
      <c r="J819" s="2">
        <v>42832.905335648145</v>
      </c>
      <c r="K819" t="s">
        <v>3672</v>
      </c>
      <c r="M819">
        <f>IFERROR(FIND(",",E819),0)</f>
        <v>0</v>
      </c>
      <c r="N819">
        <f>LEN(E819)</f>
        <v>18</v>
      </c>
    </row>
    <row r="820" spans="1:14" outlineLevel="2" x14ac:dyDescent="0.3">
      <c r="A820" s="4" t="s">
        <v>4885</v>
      </c>
      <c r="B820" s="4" t="s">
        <v>213</v>
      </c>
      <c r="C820" s="12">
        <v>35716</v>
      </c>
      <c r="D820" s="4" t="s">
        <v>1420</v>
      </c>
      <c r="E820" s="4" t="s">
        <v>1421</v>
      </c>
      <c r="F820" s="4" t="str">
        <f>IF(separador &gt; 0, LEFT(E820,separador - 1), E820)</f>
        <v>78 Summer Street</v>
      </c>
      <c r="G820" s="4" t="str">
        <f>IF(separador &gt; 0, RIGHT(E820,largo -separador - 1),"-")</f>
        <v>-</v>
      </c>
      <c r="H820" s="4" t="s">
        <v>3881</v>
      </c>
      <c r="I820" s="4" t="s">
        <v>2897</v>
      </c>
      <c r="J820" s="13">
        <v>38781.127754629626</v>
      </c>
      <c r="K820" s="4" t="s">
        <v>3672</v>
      </c>
      <c r="M820" s="4">
        <f>IFERROR(FIND(",",E820),0)</f>
        <v>0</v>
      </c>
      <c r="N820" s="4">
        <f>LEN(E820)</f>
        <v>16</v>
      </c>
    </row>
    <row r="821" spans="1:14" outlineLevel="2" x14ac:dyDescent="0.3">
      <c r="A821" t="s">
        <v>4969</v>
      </c>
      <c r="B821" t="s">
        <v>297</v>
      </c>
      <c r="C821" s="1">
        <v>35710</v>
      </c>
      <c r="D821" t="s">
        <v>1588</v>
      </c>
      <c r="E821" t="s">
        <v>1589</v>
      </c>
      <c r="F821" t="str">
        <f>IF(separador &gt; 0, LEFT(E821,separador - 1), E821)</f>
        <v>8 E. Miles Dr.</v>
      </c>
      <c r="G821" t="str">
        <f>IF(separador &gt; 0, RIGHT(E821,largo -separador - 1),"-")</f>
        <v>-</v>
      </c>
      <c r="H821" t="s">
        <v>3965</v>
      </c>
      <c r="I821" t="s">
        <v>2979</v>
      </c>
      <c r="J821" s="2">
        <v>43531.276180555556</v>
      </c>
      <c r="K821" t="s">
        <v>3672</v>
      </c>
      <c r="M821">
        <f>IFERROR(FIND(",",E821),0)</f>
        <v>0</v>
      </c>
      <c r="N821">
        <f>LEN(E821)</f>
        <v>14</v>
      </c>
    </row>
    <row r="822" spans="1:14" outlineLevel="2" x14ac:dyDescent="0.3">
      <c r="A822" s="4" t="s">
        <v>5191</v>
      </c>
      <c r="B822" s="4" t="s">
        <v>519</v>
      </c>
      <c r="C822" s="12">
        <v>35706</v>
      </c>
      <c r="D822" s="4" t="s">
        <v>2008</v>
      </c>
      <c r="E822" s="4" t="s">
        <v>1960</v>
      </c>
      <c r="F822" s="4" t="str">
        <f>IF(separador &gt; 0, LEFT(E822,separador - 1), E822)</f>
        <v>London</v>
      </c>
      <c r="G822" s="4" t="str">
        <f>IF(separador &gt; 0, RIGHT(E822,largo -separador - 1),"-")</f>
        <v>-</v>
      </c>
      <c r="H822" s="4" t="s">
        <v>4187</v>
      </c>
      <c r="I822" s="4" t="s">
        <v>3199</v>
      </c>
      <c r="J822" s="13">
        <v>39779.940011574072</v>
      </c>
      <c r="K822" s="4" t="s">
        <v>3672</v>
      </c>
      <c r="M822" s="4">
        <f>IFERROR(FIND(",",E822),0)</f>
        <v>0</v>
      </c>
      <c r="N822" s="4">
        <f>LEN(E822)</f>
        <v>6</v>
      </c>
    </row>
    <row r="823" spans="1:14" outlineLevel="2" x14ac:dyDescent="0.3">
      <c r="A823" t="s">
        <v>5407</v>
      </c>
      <c r="B823" t="s">
        <v>735</v>
      </c>
      <c r="C823" s="1">
        <v>35544</v>
      </c>
      <c r="D823" t="s">
        <v>2294</v>
      </c>
      <c r="E823" t="s">
        <v>1960</v>
      </c>
      <c r="F823" t="str">
        <f>IF(separador &gt; 0, LEFT(E823,separador - 1), E823)</f>
        <v>London</v>
      </c>
      <c r="G823" t="str">
        <f>IF(separador &gt; 0, RIGHT(E823,largo -separador - 1),"-")</f>
        <v>-</v>
      </c>
      <c r="H823" t="s">
        <v>4403</v>
      </c>
      <c r="I823" t="s">
        <v>3410</v>
      </c>
      <c r="J823" s="2">
        <v>39761.956585648149</v>
      </c>
      <c r="K823" t="s">
        <v>3672</v>
      </c>
      <c r="M823">
        <f>IFERROR(FIND(",",E823),0)</f>
        <v>0</v>
      </c>
      <c r="N823">
        <f>LEN(E823)</f>
        <v>6</v>
      </c>
    </row>
    <row r="824" spans="1:14" outlineLevel="2" x14ac:dyDescent="0.3">
      <c r="A824" s="4" t="s">
        <v>4680</v>
      </c>
      <c r="B824" s="4" t="s">
        <v>8</v>
      </c>
      <c r="C824" s="12">
        <v>35401</v>
      </c>
      <c r="D824" s="4" t="s">
        <v>1010</v>
      </c>
      <c r="E824" s="4" t="s">
        <v>1011</v>
      </c>
      <c r="F824" s="4" t="str">
        <f>IF(separador &gt; 0, LEFT(E824,separador - 1), E824)</f>
        <v>Trussville</v>
      </c>
      <c r="G824" s="4" t="str">
        <f>IF(separador &gt; 0, RIGHT(E824,largo -separador - 1),"-")</f>
        <v>AL 35173</v>
      </c>
      <c r="H824" s="4" t="s">
        <v>3676</v>
      </c>
      <c r="I824" s="4" t="s">
        <v>2694</v>
      </c>
      <c r="J824" s="13">
        <v>40884.640856481485</v>
      </c>
      <c r="K824" s="4" t="s">
        <v>3672</v>
      </c>
      <c r="M824" s="4">
        <f>IFERROR(FIND(",",E824),0)</f>
        <v>11</v>
      </c>
      <c r="N824" s="4">
        <f>LEN(E824)</f>
        <v>20</v>
      </c>
    </row>
    <row r="825" spans="1:14" outlineLevel="2" x14ac:dyDescent="0.3">
      <c r="A825" t="s">
        <v>5152</v>
      </c>
      <c r="B825" t="s">
        <v>480</v>
      </c>
      <c r="C825" s="1">
        <v>35367</v>
      </c>
      <c r="D825" t="s">
        <v>1953</v>
      </c>
      <c r="E825" t="s">
        <v>1954</v>
      </c>
      <c r="F825" t="str">
        <f>IF(separador &gt; 0, LEFT(E825,separador - 1), E825)</f>
        <v>Tallahassee</v>
      </c>
      <c r="G825" t="str">
        <f>IF(separador &gt; 0, RIGHT(E825,largo -separador - 1),"-")</f>
        <v>FL 32310</v>
      </c>
      <c r="H825" t="s">
        <v>4148</v>
      </c>
      <c r="I825" t="s">
        <v>3161</v>
      </c>
      <c r="J825" s="2">
        <v>42970.953449074077</v>
      </c>
      <c r="K825" t="s">
        <v>3672</v>
      </c>
      <c r="M825">
        <f>IFERROR(FIND(",",E825),0)</f>
        <v>12</v>
      </c>
      <c r="N825">
        <f>LEN(E825)</f>
        <v>21</v>
      </c>
    </row>
    <row r="826" spans="1:14" outlineLevel="2" x14ac:dyDescent="0.3">
      <c r="A826" s="4" t="s">
        <v>5172</v>
      </c>
      <c r="B826" s="4" t="s">
        <v>500</v>
      </c>
      <c r="C826" s="12">
        <v>35214</v>
      </c>
      <c r="D826" s="4" t="s">
        <v>1960</v>
      </c>
      <c r="E826" s="4" t="s">
        <v>1983</v>
      </c>
      <c r="F826" s="4" t="str">
        <f>IF(separador &gt; 0, LEFT(E826,separador - 1), E826)</f>
        <v>SW74 3DH</v>
      </c>
      <c r="G826" s="4" t="str">
        <f>IF(separador &gt; 0, RIGHT(E826,largo -separador - 1),"-")</f>
        <v>-</v>
      </c>
      <c r="H826" s="4" t="s">
        <v>4168</v>
      </c>
      <c r="I826" s="4" t="s">
        <v>3180</v>
      </c>
      <c r="J826" s="13">
        <v>43951.22855324074</v>
      </c>
      <c r="K826" s="4" t="s">
        <v>3672</v>
      </c>
      <c r="M826" s="4">
        <f>IFERROR(FIND(",",E826),0)</f>
        <v>0</v>
      </c>
      <c r="N826" s="4">
        <f>LEN(E826)</f>
        <v>8</v>
      </c>
    </row>
    <row r="827" spans="1:14" outlineLevel="2" x14ac:dyDescent="0.3">
      <c r="A827" t="s">
        <v>5336</v>
      </c>
      <c r="B827" t="s">
        <v>664</v>
      </c>
      <c r="C827" s="1">
        <v>35128</v>
      </c>
      <c r="D827" t="s">
        <v>2200</v>
      </c>
      <c r="E827" t="s">
        <v>2201</v>
      </c>
      <c r="F827" t="str">
        <f>IF(separador &gt; 0, LEFT(E827,separador - 1), E827)</f>
        <v>82 George Street</v>
      </c>
      <c r="G827" t="str">
        <f>IF(separador &gt; 0, RIGHT(E827,largo -separador - 1),"-")</f>
        <v>-</v>
      </c>
      <c r="H827" t="s">
        <v>4332</v>
      </c>
      <c r="I827" t="s">
        <v>3340</v>
      </c>
      <c r="J827" s="2">
        <v>41082.216921296298</v>
      </c>
      <c r="K827" t="s">
        <v>3672</v>
      </c>
      <c r="M827">
        <f>IFERROR(FIND(",",E827),0)</f>
        <v>0</v>
      </c>
      <c r="N827">
        <f>LEN(E827)</f>
        <v>16</v>
      </c>
    </row>
    <row r="828" spans="1:14" outlineLevel="2" x14ac:dyDescent="0.3">
      <c r="A828" s="4" t="s">
        <v>5408</v>
      </c>
      <c r="B828" s="4" t="s">
        <v>736</v>
      </c>
      <c r="C828" s="12">
        <v>35099</v>
      </c>
      <c r="D828" s="4" t="s">
        <v>2295</v>
      </c>
      <c r="E828" s="4" t="s">
        <v>2296</v>
      </c>
      <c r="F828" s="4" t="str">
        <f>IF(separador &gt; 0, LEFT(E828,separador - 1), E828)</f>
        <v>666 St. John’s Road</v>
      </c>
      <c r="G828" s="4" t="str">
        <f>IF(separador &gt; 0, RIGHT(E828,largo -separador - 1),"-")</f>
        <v>-</v>
      </c>
      <c r="H828" s="4" t="s">
        <v>4404</v>
      </c>
      <c r="I828" s="4" t="s">
        <v>3411</v>
      </c>
      <c r="J828" s="13">
        <v>42647.118449074071</v>
      </c>
      <c r="K828" s="4" t="s">
        <v>3672</v>
      </c>
      <c r="M828" s="4">
        <f>IFERROR(FIND(",",E828),0)</f>
        <v>0</v>
      </c>
      <c r="N828" s="4">
        <f>LEN(E828)</f>
        <v>19</v>
      </c>
    </row>
    <row r="829" spans="1:14" outlineLevel="2" x14ac:dyDescent="0.3">
      <c r="A829" t="s">
        <v>4835</v>
      </c>
      <c r="B829" t="s">
        <v>163</v>
      </c>
      <c r="C829" s="1">
        <v>35093</v>
      </c>
      <c r="D829" t="s">
        <v>1320</v>
      </c>
      <c r="E829" t="s">
        <v>1321</v>
      </c>
      <c r="F829" t="str">
        <f>IF(separador &gt; 0, LEFT(E829,separador - 1), E829)</f>
        <v>South Gate</v>
      </c>
      <c r="G829" t="str">
        <f>IF(separador &gt; 0, RIGHT(E829,largo -separador - 1),"-")</f>
        <v>CA 90280</v>
      </c>
      <c r="H829" t="s">
        <v>3831</v>
      </c>
      <c r="I829" t="s">
        <v>2849</v>
      </c>
      <c r="J829" s="2">
        <v>39796.81517361111</v>
      </c>
      <c r="K829" t="s">
        <v>3672</v>
      </c>
      <c r="M829">
        <f>IFERROR(FIND(",",E829),0)</f>
        <v>11</v>
      </c>
      <c r="N829">
        <f>LEN(E829)</f>
        <v>20</v>
      </c>
    </row>
    <row r="830" spans="1:14" outlineLevel="2" x14ac:dyDescent="0.3">
      <c r="A830" s="4" t="s">
        <v>5057</v>
      </c>
      <c r="B830" s="4" t="s">
        <v>385</v>
      </c>
      <c r="C830" s="12">
        <v>35063</v>
      </c>
      <c r="D830" s="4" t="s">
        <v>1764</v>
      </c>
      <c r="E830" s="4" t="s">
        <v>1765</v>
      </c>
      <c r="F830" s="4" t="str">
        <f>IF(separador &gt; 0, LEFT(E830,separador - 1), E830)</f>
        <v>72 S. Lakeview St.</v>
      </c>
      <c r="G830" s="4" t="str">
        <f>IF(separador &gt; 0, RIGHT(E830,largo -separador - 1),"-")</f>
        <v>-</v>
      </c>
      <c r="H830" s="4" t="s">
        <v>4053</v>
      </c>
      <c r="I830" s="4" t="s">
        <v>3067</v>
      </c>
      <c r="J830" s="13">
        <v>39420.622199074074</v>
      </c>
      <c r="K830" s="4" t="s">
        <v>3672</v>
      </c>
      <c r="M830" s="4">
        <f>IFERROR(FIND(",",E830),0)</f>
        <v>0</v>
      </c>
      <c r="N830" s="4">
        <f>LEN(E830)</f>
        <v>18</v>
      </c>
    </row>
    <row r="831" spans="1:14" outlineLevel="2" x14ac:dyDescent="0.3">
      <c r="A831" t="s">
        <v>5302</v>
      </c>
      <c r="B831" t="s">
        <v>630</v>
      </c>
      <c r="C831" s="1">
        <v>35046</v>
      </c>
      <c r="D831" t="s">
        <v>2155</v>
      </c>
      <c r="E831" t="s">
        <v>1960</v>
      </c>
      <c r="F831" t="str">
        <f>IF(separador &gt; 0, LEFT(E831,separador - 1), E831)</f>
        <v>London</v>
      </c>
      <c r="G831" t="str">
        <f>IF(separador &gt; 0, RIGHT(E831,largo -separador - 1),"-")</f>
        <v>-</v>
      </c>
      <c r="H831" t="s">
        <v>4298</v>
      </c>
      <c r="I831" t="s">
        <v>3307</v>
      </c>
      <c r="J831" s="2">
        <v>38793.933993055558</v>
      </c>
      <c r="K831" t="s">
        <v>3672</v>
      </c>
      <c r="M831">
        <f>IFERROR(FIND(",",E831),0)</f>
        <v>0</v>
      </c>
      <c r="N831">
        <f>LEN(E831)</f>
        <v>6</v>
      </c>
    </row>
    <row r="832" spans="1:14" outlineLevel="2" x14ac:dyDescent="0.3">
      <c r="A832" s="4" t="s">
        <v>5322</v>
      </c>
      <c r="B832" s="4" t="s">
        <v>650</v>
      </c>
      <c r="C832" s="12">
        <v>35028</v>
      </c>
      <c r="D832" s="4" t="s">
        <v>1960</v>
      </c>
      <c r="E832" s="4" t="s">
        <v>2182</v>
      </c>
      <c r="F832" s="4" t="str">
        <f>IF(separador &gt; 0, LEFT(E832,separador - 1), E832)</f>
        <v>N36 2IX</v>
      </c>
      <c r="G832" s="4" t="str">
        <f>IF(separador &gt; 0, RIGHT(E832,largo -separador - 1),"-")</f>
        <v>-</v>
      </c>
      <c r="H832" s="4" t="s">
        <v>4318</v>
      </c>
      <c r="I832" s="4" t="s">
        <v>3327</v>
      </c>
      <c r="J832" s="13">
        <v>39175.154247685183</v>
      </c>
      <c r="K832" s="4" t="s">
        <v>3672</v>
      </c>
      <c r="M832" s="4">
        <f>IFERROR(FIND(",",E832),0)</f>
        <v>0</v>
      </c>
      <c r="N832" s="4">
        <f>LEN(E832)</f>
        <v>7</v>
      </c>
    </row>
    <row r="833" spans="1:14" outlineLevel="2" x14ac:dyDescent="0.3">
      <c r="A833" t="s">
        <v>4800</v>
      </c>
      <c r="B833" t="s">
        <v>128</v>
      </c>
      <c r="C833" s="1">
        <v>35017</v>
      </c>
      <c r="D833" t="s">
        <v>1250</v>
      </c>
      <c r="E833" t="s">
        <v>1251</v>
      </c>
      <c r="F833" t="str">
        <f>IF(separador &gt; 0, LEFT(E833,separador - 1), E833)</f>
        <v>Compton</v>
      </c>
      <c r="G833" t="str">
        <f>IF(separador &gt; 0, RIGHT(E833,largo -separador - 1),"-")</f>
        <v>CA 90221</v>
      </c>
      <c r="H833" t="s">
        <v>3796</v>
      </c>
      <c r="I833" t="s">
        <v>2814</v>
      </c>
      <c r="J833" s="2">
        <v>39537.497766203705</v>
      </c>
      <c r="K833" t="s">
        <v>3672</v>
      </c>
      <c r="M833">
        <f>IFERROR(FIND(",",E833),0)</f>
        <v>8</v>
      </c>
      <c r="N833">
        <f>LEN(E833)</f>
        <v>17</v>
      </c>
    </row>
    <row r="834" spans="1:14" outlineLevel="2" x14ac:dyDescent="0.3">
      <c r="A834" s="4" t="s">
        <v>5097</v>
      </c>
      <c r="B834" s="4" t="s">
        <v>425</v>
      </c>
      <c r="C834" s="12">
        <v>35016</v>
      </c>
      <c r="D834" s="4" t="s">
        <v>1843</v>
      </c>
      <c r="E834" s="4" t="s">
        <v>1844</v>
      </c>
      <c r="F834" s="4" t="str">
        <f>IF(separador &gt; 0, LEFT(E834,separador - 1), E834)</f>
        <v>99 S. Pumpkin Hill Ave.</v>
      </c>
      <c r="G834" s="4" t="str">
        <f>IF(separador &gt; 0, RIGHT(E834,largo -separador - 1),"-")</f>
        <v>-</v>
      </c>
      <c r="H834" s="4" t="s">
        <v>4093</v>
      </c>
      <c r="I834" s="4" t="s">
        <v>3094</v>
      </c>
      <c r="J834" s="13">
        <v>38525.66746527778</v>
      </c>
      <c r="K834" s="4" t="s">
        <v>3672</v>
      </c>
      <c r="M834" s="4">
        <f>IFERROR(FIND(",",E834),0)</f>
        <v>0</v>
      </c>
      <c r="N834" s="4">
        <f>LEN(E834)</f>
        <v>23</v>
      </c>
    </row>
    <row r="835" spans="1:14" outlineLevel="2" x14ac:dyDescent="0.3">
      <c r="A835" t="s">
        <v>4947</v>
      </c>
      <c r="B835" t="s">
        <v>275</v>
      </c>
      <c r="C835" s="1">
        <v>35006</v>
      </c>
      <c r="D835" t="s">
        <v>1544</v>
      </c>
      <c r="E835" t="s">
        <v>1545</v>
      </c>
      <c r="F835" t="str">
        <f>IF(separador &gt; 0, LEFT(E835,separador - 1), E835)</f>
        <v>9282 Border Street</v>
      </c>
      <c r="G835" t="str">
        <f>IF(separador &gt; 0, RIGHT(E835,largo -separador - 1),"-")</f>
        <v>-</v>
      </c>
      <c r="H835" t="s">
        <v>3943</v>
      </c>
      <c r="I835" t="s">
        <v>2958</v>
      </c>
      <c r="J835" s="2">
        <v>44256.182337962964</v>
      </c>
      <c r="K835" t="s">
        <v>3672</v>
      </c>
      <c r="M835">
        <f>IFERROR(FIND(",",E835),0)</f>
        <v>0</v>
      </c>
      <c r="N835">
        <f>LEN(E835)</f>
        <v>18</v>
      </c>
    </row>
    <row r="836" spans="1:14" outlineLevel="2" x14ac:dyDescent="0.3">
      <c r="A836" s="4" t="s">
        <v>4873</v>
      </c>
      <c r="B836" s="4" t="s">
        <v>201</v>
      </c>
      <c r="C836" s="12">
        <v>34994</v>
      </c>
      <c r="D836" s="4" t="s">
        <v>1396</v>
      </c>
      <c r="E836" s="4" t="s">
        <v>1397</v>
      </c>
      <c r="F836" s="4" t="str">
        <f>IF(separador &gt; 0, LEFT(E836,separador - 1), E836)</f>
        <v>8053 Jennings St.</v>
      </c>
      <c r="G836" s="4" t="str">
        <f>IF(separador &gt; 0, RIGHT(E836,largo -separador - 1),"-")</f>
        <v>-</v>
      </c>
      <c r="H836" s="4" t="s">
        <v>3869</v>
      </c>
      <c r="I836" s="4" t="s">
        <v>2885</v>
      </c>
      <c r="J836" s="13">
        <v>42544.160358796296</v>
      </c>
      <c r="K836" s="4" t="s">
        <v>3672</v>
      </c>
      <c r="M836" s="4">
        <f>IFERROR(FIND(",",E836),0)</f>
        <v>0</v>
      </c>
      <c r="N836" s="4">
        <f>LEN(E836)</f>
        <v>17</v>
      </c>
    </row>
    <row r="837" spans="1:14" outlineLevel="2" x14ac:dyDescent="0.3">
      <c r="A837" t="s">
        <v>5190</v>
      </c>
      <c r="B837" t="s">
        <v>518</v>
      </c>
      <c r="C837" s="1">
        <v>34794</v>
      </c>
      <c r="D837" t="s">
        <v>1960</v>
      </c>
      <c r="E837" t="s">
        <v>2007</v>
      </c>
      <c r="F837" t="str">
        <f>IF(separador &gt; 0, LEFT(E837,separador - 1), E837)</f>
        <v>E17 8EH</v>
      </c>
      <c r="G837" t="str">
        <f>IF(separador &gt; 0, RIGHT(E837,largo -separador - 1),"-")</f>
        <v>-</v>
      </c>
      <c r="H837" t="s">
        <v>4186</v>
      </c>
      <c r="I837" t="s">
        <v>3198</v>
      </c>
      <c r="J837" s="2">
        <v>39860.20076388889</v>
      </c>
      <c r="K837" t="s">
        <v>3672</v>
      </c>
      <c r="M837">
        <f>IFERROR(FIND(",",E837),0)</f>
        <v>0</v>
      </c>
      <c r="N837">
        <f>LEN(E837)</f>
        <v>7</v>
      </c>
    </row>
    <row r="838" spans="1:14" outlineLevel="2" x14ac:dyDescent="0.3">
      <c r="A838" s="4" t="s">
        <v>4770</v>
      </c>
      <c r="B838" s="4" t="s">
        <v>98</v>
      </c>
      <c r="C838" s="12">
        <v>34743</v>
      </c>
      <c r="D838" s="4" t="s">
        <v>1190</v>
      </c>
      <c r="E838" s="4" t="s">
        <v>1191</v>
      </c>
      <c r="F838" s="4" t="str">
        <f>IF(separador &gt; 0, LEFT(E838,separador - 1), E838)</f>
        <v>TQ16 9DL</v>
      </c>
      <c r="G838" s="4" t="str">
        <f>IF(separador &gt; 0, RIGHT(E838,largo -separador - 1),"-")</f>
        <v>-</v>
      </c>
      <c r="H838" s="4" t="s">
        <v>3766</v>
      </c>
      <c r="I838" s="4" t="s">
        <v>2784</v>
      </c>
      <c r="J838" s="13">
        <v>42393.10087962963</v>
      </c>
      <c r="K838" s="4" t="s">
        <v>3672</v>
      </c>
      <c r="M838" s="4">
        <f>IFERROR(FIND(",",E838),0)</f>
        <v>0</v>
      </c>
      <c r="N838" s="4">
        <f>LEN(E838)</f>
        <v>8</v>
      </c>
    </row>
    <row r="839" spans="1:14" outlineLevel="2" x14ac:dyDescent="0.3">
      <c r="A839" t="s">
        <v>5454</v>
      </c>
      <c r="B839" t="s">
        <v>782</v>
      </c>
      <c r="C839" s="1">
        <v>34712</v>
      </c>
      <c r="D839" t="s">
        <v>2367</v>
      </c>
      <c r="E839" t="s">
        <v>2368</v>
      </c>
      <c r="F839" t="str">
        <f>IF(separador &gt; 0, LEFT(E839,separador - 1), E839)</f>
        <v>Jamestown</v>
      </c>
      <c r="G839" t="str">
        <f>IF(separador &gt; 0, RIGHT(E839,largo -separador - 1),"-")</f>
        <v>NY 14701</v>
      </c>
      <c r="H839" t="s">
        <v>4450</v>
      </c>
      <c r="I839" t="s">
        <v>3453</v>
      </c>
      <c r="J839" s="2">
        <v>41484.820277777777</v>
      </c>
      <c r="K839" t="s">
        <v>3672</v>
      </c>
      <c r="M839">
        <f>IFERROR(FIND(",",E839),0)</f>
        <v>10</v>
      </c>
      <c r="N839">
        <f>LEN(E839)</f>
        <v>19</v>
      </c>
    </row>
    <row r="840" spans="1:14" outlineLevel="2" x14ac:dyDescent="0.3">
      <c r="A840" s="4" t="s">
        <v>4964</v>
      </c>
      <c r="B840" s="4" t="s">
        <v>292</v>
      </c>
      <c r="C840" s="12">
        <v>34706</v>
      </c>
      <c r="D840" s="4" t="s">
        <v>1578</v>
      </c>
      <c r="E840" s="4" t="s">
        <v>1579</v>
      </c>
      <c r="F840" s="4" t="str">
        <f>IF(separador &gt; 0, LEFT(E840,separador - 1), E840)</f>
        <v>798 Clark Rd.</v>
      </c>
      <c r="G840" s="4" t="str">
        <f>IF(separador &gt; 0, RIGHT(E840,largo -separador - 1),"-")</f>
        <v>-</v>
      </c>
      <c r="H840" s="4" t="s">
        <v>3960</v>
      </c>
      <c r="I840" s="4" t="s">
        <v>2975</v>
      </c>
      <c r="J840" s="13">
        <v>43464.149502314816</v>
      </c>
      <c r="K840" s="4" t="s">
        <v>3672</v>
      </c>
      <c r="M840" s="4">
        <f>IFERROR(FIND(",",E840),0)</f>
        <v>0</v>
      </c>
      <c r="N840" s="4">
        <f>LEN(E840)</f>
        <v>13</v>
      </c>
    </row>
    <row r="841" spans="1:14" outlineLevel="2" x14ac:dyDescent="0.3">
      <c r="A841" t="s">
        <v>5464</v>
      </c>
      <c r="B841" t="s">
        <v>792</v>
      </c>
      <c r="C841" s="1">
        <v>34685</v>
      </c>
      <c r="D841" t="s">
        <v>2387</v>
      </c>
      <c r="E841" t="s">
        <v>1023</v>
      </c>
      <c r="F841" t="str">
        <f>IF(separador &gt; 0, LEFT(E841,separador - 1), E841)</f>
        <v>Rego Park</v>
      </c>
      <c r="G841" t="str">
        <f>IF(separador &gt; 0, RIGHT(E841,largo -separador - 1),"-")</f>
        <v>NY 11374</v>
      </c>
      <c r="H841" t="s">
        <v>4460</v>
      </c>
      <c r="I841" t="s">
        <v>3463</v>
      </c>
      <c r="J841" s="2">
        <v>40585.714432870373</v>
      </c>
      <c r="K841" t="s">
        <v>3672</v>
      </c>
      <c r="M841">
        <f>IFERROR(FIND(",",E841),0)</f>
        <v>10</v>
      </c>
      <c r="N841">
        <f>LEN(E841)</f>
        <v>19</v>
      </c>
    </row>
    <row r="842" spans="1:14" outlineLevel="2" x14ac:dyDescent="0.3">
      <c r="A842" s="4" t="s">
        <v>4819</v>
      </c>
      <c r="B842" s="4" t="s">
        <v>147</v>
      </c>
      <c r="C842" s="12">
        <v>34635</v>
      </c>
      <c r="D842" s="4" t="s">
        <v>1288</v>
      </c>
      <c r="E842" s="4" t="s">
        <v>1289</v>
      </c>
      <c r="F842" s="4" t="str">
        <f>IF(separador &gt; 0, LEFT(E842,separador - 1), E842)</f>
        <v>San Francisco</v>
      </c>
      <c r="G842" s="4" t="str">
        <f>IF(separador &gt; 0, RIGHT(E842,largo -separador - 1),"-")</f>
        <v>CA 94110</v>
      </c>
      <c r="H842" s="4" t="s">
        <v>3815</v>
      </c>
      <c r="I842" s="4" t="s">
        <v>2833</v>
      </c>
      <c r="J842" s="13">
        <v>41826.708715277775</v>
      </c>
      <c r="K842" s="4" t="s">
        <v>3672</v>
      </c>
      <c r="M842" s="4">
        <f>IFERROR(FIND(",",E842),0)</f>
        <v>14</v>
      </c>
      <c r="N842" s="4">
        <f>LEN(E842)</f>
        <v>23</v>
      </c>
    </row>
    <row r="843" spans="1:14" outlineLevel="2" x14ac:dyDescent="0.3">
      <c r="A843" t="s">
        <v>4955</v>
      </c>
      <c r="B843" t="s">
        <v>283</v>
      </c>
      <c r="C843" s="1">
        <v>34404</v>
      </c>
      <c r="D843" t="s">
        <v>1560</v>
      </c>
      <c r="E843" t="s">
        <v>1561</v>
      </c>
      <c r="F843" t="str">
        <f>IF(separador &gt; 0, LEFT(E843,separador - 1), E843)</f>
        <v>60 St Margarets Street</v>
      </c>
      <c r="G843" t="str">
        <f>IF(separador &gt; 0, RIGHT(E843,largo -separador - 1),"-")</f>
        <v>-</v>
      </c>
      <c r="H843" t="s">
        <v>3951</v>
      </c>
      <c r="I843" t="s">
        <v>2966</v>
      </c>
      <c r="J843" s="2">
        <v>41547.480879629627</v>
      </c>
      <c r="K843" t="s">
        <v>3672</v>
      </c>
      <c r="M843">
        <f>IFERROR(FIND(",",E843),0)</f>
        <v>0</v>
      </c>
      <c r="N843">
        <f>LEN(E843)</f>
        <v>22</v>
      </c>
    </row>
    <row r="844" spans="1:14" outlineLevel="2" x14ac:dyDescent="0.3">
      <c r="A844" s="4" t="s">
        <v>5627</v>
      </c>
      <c r="B844" s="4" t="s">
        <v>955</v>
      </c>
      <c r="C844" s="12">
        <v>34327</v>
      </c>
      <c r="D844" s="4" t="s">
        <v>2642</v>
      </c>
      <c r="E844" s="4" t="s">
        <v>2502</v>
      </c>
      <c r="F844" s="4" t="str">
        <f>IF(separador &gt; 0, LEFT(E844,separador - 1), E844)</f>
        <v>Brooklyn</v>
      </c>
      <c r="G844" s="4" t="str">
        <f>IF(separador &gt; 0, RIGHT(E844,largo -separador - 1),"-")</f>
        <v>NY 11210</v>
      </c>
      <c r="H844" s="4" t="s">
        <v>4623</v>
      </c>
      <c r="I844" s="4" t="s">
        <v>3623</v>
      </c>
      <c r="J844" s="13">
        <v>41088.270891203705</v>
      </c>
      <c r="K844" s="4" t="s">
        <v>3672</v>
      </c>
      <c r="M844" s="4">
        <f>IFERROR(FIND(",",E844),0)</f>
        <v>9</v>
      </c>
      <c r="N844" s="4">
        <f>LEN(E844)</f>
        <v>18</v>
      </c>
    </row>
    <row r="845" spans="1:14" outlineLevel="2" x14ac:dyDescent="0.3">
      <c r="A845" t="s">
        <v>5642</v>
      </c>
      <c r="B845" t="s">
        <v>970</v>
      </c>
      <c r="C845" s="1">
        <v>34297</v>
      </c>
      <c r="D845" t="s">
        <v>2657</v>
      </c>
      <c r="E845" t="s">
        <v>2530</v>
      </c>
      <c r="F845" t="str">
        <f>IF(separador &gt; 0, LEFT(E845,separador - 1), E845)</f>
        <v>Brooklyn</v>
      </c>
      <c r="G845" t="str">
        <f>IF(separador &gt; 0, RIGHT(E845,largo -separador - 1),"-")</f>
        <v>NY 11203</v>
      </c>
      <c r="H845" t="s">
        <v>4638</v>
      </c>
      <c r="I845" t="s">
        <v>3636</v>
      </c>
      <c r="J845" s="2">
        <v>43197.688738425924</v>
      </c>
      <c r="K845" t="s">
        <v>3672</v>
      </c>
      <c r="M845">
        <f>IFERROR(FIND(",",E845),0)</f>
        <v>9</v>
      </c>
      <c r="N845">
        <f>LEN(E845)</f>
        <v>18</v>
      </c>
    </row>
    <row r="846" spans="1:14" outlineLevel="2" x14ac:dyDescent="0.3">
      <c r="A846" s="4" t="s">
        <v>4944</v>
      </c>
      <c r="B846" s="4" t="s">
        <v>272</v>
      </c>
      <c r="C846" s="12">
        <v>34240</v>
      </c>
      <c r="D846" s="4" t="s">
        <v>1538</v>
      </c>
      <c r="E846" s="4" t="s">
        <v>1539</v>
      </c>
      <c r="F846" s="4" t="str">
        <f>IF(separador &gt; 0, LEFT(E846,separador - 1), E846)</f>
        <v>5 Rockland Court</v>
      </c>
      <c r="G846" s="4" t="str">
        <f>IF(separador &gt; 0, RIGHT(E846,largo -separador - 1),"-")</f>
        <v>-</v>
      </c>
      <c r="H846" s="4" t="s">
        <v>3940</v>
      </c>
      <c r="I846" s="4" t="s">
        <v>2955</v>
      </c>
      <c r="J846" s="13">
        <v>43292.350925925923</v>
      </c>
      <c r="K846" s="4" t="s">
        <v>3672</v>
      </c>
      <c r="M846" s="4">
        <f>IFERROR(FIND(",",E846),0)</f>
        <v>0</v>
      </c>
      <c r="N846" s="4">
        <f>LEN(E846)</f>
        <v>16</v>
      </c>
    </row>
    <row r="847" spans="1:14" outlineLevel="2" x14ac:dyDescent="0.3">
      <c r="A847" t="s">
        <v>4856</v>
      </c>
      <c r="B847" t="s">
        <v>184</v>
      </c>
      <c r="C847" s="1">
        <v>34155</v>
      </c>
      <c r="D847" t="s">
        <v>1362</v>
      </c>
      <c r="E847" t="s">
        <v>1363</v>
      </c>
      <c r="F847" t="str">
        <f>IF(separador &gt; 0, LEFT(E847,separador - 1), E847)</f>
        <v>8785 Marconi Road</v>
      </c>
      <c r="G847" t="str">
        <f>IF(separador &gt; 0, RIGHT(E847,largo -separador - 1),"-")</f>
        <v>-</v>
      </c>
      <c r="H847" t="s">
        <v>3852</v>
      </c>
      <c r="I847" t="s">
        <v>2868</v>
      </c>
      <c r="J847" s="2">
        <v>40483.128506944442</v>
      </c>
      <c r="K847" t="s">
        <v>3672</v>
      </c>
      <c r="M847">
        <f>IFERROR(FIND(",",E847),0)</f>
        <v>0</v>
      </c>
      <c r="N847">
        <f>LEN(E847)</f>
        <v>17</v>
      </c>
    </row>
    <row r="848" spans="1:14" outlineLevel="2" x14ac:dyDescent="0.3">
      <c r="A848" s="4" t="s">
        <v>5060</v>
      </c>
      <c r="B848" s="4" t="s">
        <v>388</v>
      </c>
      <c r="C848" s="12">
        <v>34077</v>
      </c>
      <c r="D848" s="4" t="s">
        <v>1770</v>
      </c>
      <c r="E848" s="4" t="s">
        <v>1771</v>
      </c>
      <c r="F848" s="4" t="str">
        <f>IF(separador &gt; 0, LEFT(E848,separador - 1), E848)</f>
        <v>3 North Augusta Road</v>
      </c>
      <c r="G848" s="4" t="str">
        <f>IF(separador &gt; 0, RIGHT(E848,largo -separador - 1),"-")</f>
        <v>-</v>
      </c>
      <c r="H848" s="4" t="s">
        <v>4056</v>
      </c>
      <c r="I848" s="4" t="s">
        <v>3070</v>
      </c>
      <c r="J848" s="13">
        <v>41268.416319444441</v>
      </c>
      <c r="K848" s="4" t="s">
        <v>3672</v>
      </c>
      <c r="M848" s="4">
        <f>IFERROR(FIND(",",E848),0)</f>
        <v>0</v>
      </c>
      <c r="N848" s="4">
        <f>LEN(E848)</f>
        <v>20</v>
      </c>
    </row>
    <row r="849" spans="1:14" outlineLevel="2" x14ac:dyDescent="0.3">
      <c r="A849" t="s">
        <v>5341</v>
      </c>
      <c r="B849" t="s">
        <v>669</v>
      </c>
      <c r="C849" s="1">
        <v>34041</v>
      </c>
      <c r="D849" t="s">
        <v>2207</v>
      </c>
      <c r="E849" t="s">
        <v>1960</v>
      </c>
      <c r="F849" t="str">
        <f>IF(separador &gt; 0, LEFT(E849,separador - 1), E849)</f>
        <v>London</v>
      </c>
      <c r="G849" t="str">
        <f>IF(separador &gt; 0, RIGHT(E849,largo -separador - 1),"-")</f>
        <v>-</v>
      </c>
      <c r="H849" t="s">
        <v>4337</v>
      </c>
      <c r="I849" t="s">
        <v>3345</v>
      </c>
      <c r="J849" s="2">
        <v>42301.663356481484</v>
      </c>
      <c r="K849" t="s">
        <v>3672</v>
      </c>
      <c r="M849">
        <f>IFERROR(FIND(",",E849),0)</f>
        <v>0</v>
      </c>
      <c r="N849">
        <f>LEN(E849)</f>
        <v>6</v>
      </c>
    </row>
    <row r="850" spans="1:14" outlineLevel="2" x14ac:dyDescent="0.3">
      <c r="A850" s="4" t="s">
        <v>4790</v>
      </c>
      <c r="B850" s="4" t="s">
        <v>118</v>
      </c>
      <c r="C850" s="12">
        <v>34000</v>
      </c>
      <c r="D850" s="4" t="s">
        <v>1230</v>
      </c>
      <c r="E850" s="4" t="s">
        <v>1231</v>
      </c>
      <c r="F850" s="4" t="str">
        <f>IF(separador &gt; 0, LEFT(E850,separador - 1), E850)</f>
        <v>44 Alexander Road</v>
      </c>
      <c r="G850" s="4" t="str">
        <f>IF(separador &gt; 0, RIGHT(E850,largo -separador - 1),"-")</f>
        <v>-</v>
      </c>
      <c r="H850" s="4" t="s">
        <v>3786</v>
      </c>
      <c r="I850" s="4" t="s">
        <v>2804</v>
      </c>
      <c r="J850" s="13">
        <v>39559.83457175926</v>
      </c>
      <c r="K850" s="4" t="s">
        <v>3672</v>
      </c>
      <c r="M850" s="4">
        <f>IFERROR(FIND(",",E850),0)</f>
        <v>0</v>
      </c>
      <c r="N850" s="4">
        <f>LEN(E850)</f>
        <v>17</v>
      </c>
    </row>
    <row r="851" spans="1:14" outlineLevel="2" x14ac:dyDescent="0.3">
      <c r="A851" t="s">
        <v>5046</v>
      </c>
      <c r="B851" t="s">
        <v>374</v>
      </c>
      <c r="C851" s="1">
        <v>33981</v>
      </c>
      <c r="D851" t="s">
        <v>1742</v>
      </c>
      <c r="E851" t="s">
        <v>1743</v>
      </c>
      <c r="F851" t="str">
        <f>IF(separador &gt; 0, LEFT(E851,separador - 1), E851)</f>
        <v>73 Pulaski Street</v>
      </c>
      <c r="G851" t="str">
        <f>IF(separador &gt; 0, RIGHT(E851,largo -separador - 1),"-")</f>
        <v>-</v>
      </c>
      <c r="H851" t="s">
        <v>4042</v>
      </c>
      <c r="I851" t="s">
        <v>3056</v>
      </c>
      <c r="J851" s="2">
        <v>41701.884074074071</v>
      </c>
      <c r="K851" t="s">
        <v>3672</v>
      </c>
      <c r="M851">
        <f>IFERROR(FIND(",",E851),0)</f>
        <v>0</v>
      </c>
      <c r="N851">
        <f>LEN(E851)</f>
        <v>17</v>
      </c>
    </row>
    <row r="852" spans="1:14" outlineLevel="2" x14ac:dyDescent="0.3">
      <c r="A852" s="4" t="s">
        <v>5185</v>
      </c>
      <c r="B852" s="4" t="s">
        <v>513</v>
      </c>
      <c r="C852" s="12">
        <v>33939</v>
      </c>
      <c r="D852" s="4" t="s">
        <v>2000</v>
      </c>
      <c r="E852" s="4" t="s">
        <v>1960</v>
      </c>
      <c r="F852" s="4" t="str">
        <f>IF(separador &gt; 0, LEFT(E852,separador - 1), E852)</f>
        <v>London</v>
      </c>
      <c r="G852" s="4" t="str">
        <f>IF(separador &gt; 0, RIGHT(E852,largo -separador - 1),"-")</f>
        <v>-</v>
      </c>
      <c r="H852" s="4" t="s">
        <v>4181</v>
      </c>
      <c r="I852" s="4" t="s">
        <v>3193</v>
      </c>
      <c r="J852" s="13">
        <v>43019.355486111112</v>
      </c>
      <c r="K852" s="4" t="s">
        <v>3672</v>
      </c>
      <c r="M852" s="4">
        <f>IFERROR(FIND(",",E852),0)</f>
        <v>0</v>
      </c>
      <c r="N852" s="4">
        <f>LEN(E852)</f>
        <v>6</v>
      </c>
    </row>
    <row r="853" spans="1:14" outlineLevel="2" x14ac:dyDescent="0.3">
      <c r="A853" t="s">
        <v>5235</v>
      </c>
      <c r="B853" t="s">
        <v>563</v>
      </c>
      <c r="C853" s="1">
        <v>33932</v>
      </c>
      <c r="D853" t="s">
        <v>1960</v>
      </c>
      <c r="E853" t="s">
        <v>2066</v>
      </c>
      <c r="F853" t="str">
        <f>IF(separador &gt; 0, LEFT(E853,separador - 1), E853)</f>
        <v>SW18 9FH</v>
      </c>
      <c r="G853" t="str">
        <f>IF(separador &gt; 0, RIGHT(E853,largo -separador - 1),"-")</f>
        <v>-</v>
      </c>
      <c r="H853" t="s">
        <v>4231</v>
      </c>
      <c r="I853" t="s">
        <v>3243</v>
      </c>
      <c r="J853" s="2">
        <v>44116.309050925927</v>
      </c>
      <c r="K853" t="s">
        <v>3672</v>
      </c>
      <c r="M853">
        <f>IFERROR(FIND(",",E853),0)</f>
        <v>0</v>
      </c>
      <c r="N853">
        <f>LEN(E853)</f>
        <v>8</v>
      </c>
    </row>
    <row r="854" spans="1:14" outlineLevel="2" x14ac:dyDescent="0.3">
      <c r="A854" s="4" t="s">
        <v>5259</v>
      </c>
      <c r="B854" s="4" t="s">
        <v>587</v>
      </c>
      <c r="C854" s="12">
        <v>33901</v>
      </c>
      <c r="D854" s="4" t="s">
        <v>1960</v>
      </c>
      <c r="E854" s="4" t="s">
        <v>2098</v>
      </c>
      <c r="F854" s="4" t="str">
        <f>IF(separador &gt; 0, LEFT(E854,separador - 1), E854)</f>
        <v>SW78 0SY</v>
      </c>
      <c r="G854" s="4" t="str">
        <f>IF(separador &gt; 0, RIGHT(E854,largo -separador - 1),"-")</f>
        <v>-</v>
      </c>
      <c r="H854" s="4" t="s">
        <v>4255</v>
      </c>
      <c r="I854" s="4" t="s">
        <v>3265</v>
      </c>
      <c r="J854" s="13">
        <v>40872.167500000003</v>
      </c>
      <c r="K854" s="4" t="s">
        <v>3672</v>
      </c>
      <c r="M854" s="4">
        <f>IFERROR(FIND(",",E854),0)</f>
        <v>0</v>
      </c>
      <c r="N854" s="4">
        <f>LEN(E854)</f>
        <v>8</v>
      </c>
    </row>
    <row r="855" spans="1:14" outlineLevel="2" x14ac:dyDescent="0.3">
      <c r="A855" t="s">
        <v>5641</v>
      </c>
      <c r="B855" t="s">
        <v>969</v>
      </c>
      <c r="C855" s="1">
        <v>33879</v>
      </c>
      <c r="D855" t="s">
        <v>2656</v>
      </c>
      <c r="E855" t="s">
        <v>2482</v>
      </c>
      <c r="F855" t="str">
        <f>IF(separador &gt; 0, LEFT(E855,separador - 1), E855)</f>
        <v>Buffalo</v>
      </c>
      <c r="G855" t="str">
        <f>IF(separador &gt; 0, RIGHT(E855,largo -separador - 1),"-")</f>
        <v>NY 14221</v>
      </c>
      <c r="H855" t="s">
        <v>4637</v>
      </c>
      <c r="I855" t="s">
        <v>3635</v>
      </c>
      <c r="J855" s="2">
        <v>39793.254178240742</v>
      </c>
      <c r="K855" t="s">
        <v>3672</v>
      </c>
      <c r="M855">
        <f>IFERROR(FIND(",",E855),0)</f>
        <v>8</v>
      </c>
      <c r="N855">
        <f>LEN(E855)</f>
        <v>17</v>
      </c>
    </row>
    <row r="856" spans="1:14" outlineLevel="2" x14ac:dyDescent="0.3">
      <c r="A856" s="4" t="s">
        <v>5091</v>
      </c>
      <c r="B856" s="4" t="s">
        <v>419</v>
      </c>
      <c r="C856" s="12">
        <v>33875</v>
      </c>
      <c r="D856" s="4" t="s">
        <v>1831</v>
      </c>
      <c r="E856" s="4" t="s">
        <v>1832</v>
      </c>
      <c r="F856" s="4" t="str">
        <f>IF(separador &gt; 0, LEFT(E856,separador - 1), E856)</f>
        <v>9951 Strawberry Ave.</v>
      </c>
      <c r="G856" s="4" t="str">
        <f>IF(separador &gt; 0, RIGHT(E856,largo -separador - 1),"-")</f>
        <v>-</v>
      </c>
      <c r="H856" s="4" t="s">
        <v>4087</v>
      </c>
      <c r="I856" s="4" t="s">
        <v>3101</v>
      </c>
      <c r="J856" s="13">
        <v>39006.753310185188</v>
      </c>
      <c r="K856" s="4" t="s">
        <v>3672</v>
      </c>
      <c r="M856" s="4">
        <f>IFERROR(FIND(",",E856),0)</f>
        <v>0</v>
      </c>
      <c r="N856" s="4">
        <f>LEN(E856)</f>
        <v>20</v>
      </c>
    </row>
    <row r="857" spans="1:14" outlineLevel="2" x14ac:dyDescent="0.3">
      <c r="A857" t="s">
        <v>5339</v>
      </c>
      <c r="B857" t="s">
        <v>667</v>
      </c>
      <c r="C857" s="1">
        <v>33797</v>
      </c>
      <c r="D857" t="s">
        <v>2204</v>
      </c>
      <c r="E857" t="s">
        <v>2205</v>
      </c>
      <c r="F857" t="str">
        <f>IF(separador &gt; 0, LEFT(E857,separador - 1), E857)</f>
        <v>7 South Street</v>
      </c>
      <c r="G857" t="str">
        <f>IF(separador &gt; 0, RIGHT(E857,largo -separador - 1),"-")</f>
        <v>-</v>
      </c>
      <c r="H857" t="s">
        <v>4335</v>
      </c>
      <c r="I857" t="s">
        <v>3343</v>
      </c>
      <c r="J857" s="2">
        <v>41548.126180555555</v>
      </c>
      <c r="K857" t="s">
        <v>3672</v>
      </c>
      <c r="M857">
        <f>IFERROR(FIND(",",E857),0)</f>
        <v>0</v>
      </c>
      <c r="N857">
        <f>LEN(E857)</f>
        <v>14</v>
      </c>
    </row>
    <row r="858" spans="1:14" outlineLevel="2" x14ac:dyDescent="0.3">
      <c r="A858" s="4" t="s">
        <v>4840</v>
      </c>
      <c r="B858" s="4" t="s">
        <v>168</v>
      </c>
      <c r="C858" s="12">
        <v>33725</v>
      </c>
      <c r="D858" s="4" t="s">
        <v>1330</v>
      </c>
      <c r="E858" s="4" t="s">
        <v>1331</v>
      </c>
      <c r="F858" s="4" t="str">
        <f>IF(separador &gt; 0, LEFT(E858,separador - 1), E858)</f>
        <v>Sacramento</v>
      </c>
      <c r="G858" s="4" t="str">
        <f>IF(separador &gt; 0, RIGHT(E858,largo -separador - 1),"-")</f>
        <v>CA 95823</v>
      </c>
      <c r="H858" s="4" t="s">
        <v>3836</v>
      </c>
      <c r="I858" s="4" t="s">
        <v>2853</v>
      </c>
      <c r="J858" s="13">
        <v>42824.387442129628</v>
      </c>
      <c r="K858" s="4" t="s">
        <v>3672</v>
      </c>
      <c r="M858" s="4">
        <f>IFERROR(FIND(",",E858),0)</f>
        <v>11</v>
      </c>
      <c r="N858" s="4">
        <f>LEN(E858)</f>
        <v>20</v>
      </c>
    </row>
    <row r="859" spans="1:14" outlineLevel="2" x14ac:dyDescent="0.3">
      <c r="A859" t="s">
        <v>5208</v>
      </c>
      <c r="B859" t="s">
        <v>536</v>
      </c>
      <c r="C859" s="1">
        <v>33517</v>
      </c>
      <c r="D859" t="s">
        <v>1960</v>
      </c>
      <c r="E859" t="s">
        <v>2031</v>
      </c>
      <c r="F859" t="str">
        <f>IF(separador &gt; 0, LEFT(E859,separador - 1), E859)</f>
        <v>SW31 4DR</v>
      </c>
      <c r="G859" t="str">
        <f>IF(separador &gt; 0, RIGHT(E859,largo -separador - 1),"-")</f>
        <v>-</v>
      </c>
      <c r="H859" t="s">
        <v>4204</v>
      </c>
      <c r="I859" t="s">
        <v>3216</v>
      </c>
      <c r="J859" s="2">
        <v>42940.784722222219</v>
      </c>
      <c r="K859" t="s">
        <v>3672</v>
      </c>
      <c r="M859">
        <f>IFERROR(FIND(",",E859),0)</f>
        <v>0</v>
      </c>
      <c r="N859">
        <f>LEN(E859)</f>
        <v>8</v>
      </c>
    </row>
    <row r="860" spans="1:14" outlineLevel="2" x14ac:dyDescent="0.3">
      <c r="A860" s="4" t="s">
        <v>5100</v>
      </c>
      <c r="B860" s="4" t="s">
        <v>428</v>
      </c>
      <c r="C860" s="12">
        <v>33357</v>
      </c>
      <c r="D860" s="4" t="s">
        <v>1849</v>
      </c>
      <c r="E860" s="4" t="s">
        <v>1850</v>
      </c>
      <c r="F860" s="4" t="str">
        <f>IF(separador &gt; 0, LEFT(E860,separador - 1), E860)</f>
        <v>419 High St.</v>
      </c>
      <c r="G860" s="4" t="str">
        <f>IF(separador &gt; 0, RIGHT(E860,largo -separador - 1),"-")</f>
        <v>-</v>
      </c>
      <c r="H860" s="4" t="s">
        <v>4096</v>
      </c>
      <c r="I860" s="4" t="s">
        <v>3109</v>
      </c>
      <c r="J860" s="13">
        <v>38512.437650462962</v>
      </c>
      <c r="K860" s="4" t="s">
        <v>3672</v>
      </c>
      <c r="M860" s="4">
        <f>IFERROR(FIND(",",E860),0)</f>
        <v>0</v>
      </c>
      <c r="N860" s="4">
        <f>LEN(E860)</f>
        <v>12</v>
      </c>
    </row>
    <row r="861" spans="1:14" outlineLevel="2" x14ac:dyDescent="0.3">
      <c r="A861" t="s">
        <v>4851</v>
      </c>
      <c r="B861" t="s">
        <v>179</v>
      </c>
      <c r="C861" s="1">
        <v>33334</v>
      </c>
      <c r="D861" t="s">
        <v>1352</v>
      </c>
      <c r="E861" t="s">
        <v>1353</v>
      </c>
      <c r="F861" t="str">
        <f>IF(separador &gt; 0, LEFT(E861,separador - 1), E861)</f>
        <v>Oceanside</v>
      </c>
      <c r="G861" t="str">
        <f>IF(separador &gt; 0, RIGHT(E861,largo -separador - 1),"-")</f>
        <v>CA 92056</v>
      </c>
      <c r="H861" t="s">
        <v>3847</v>
      </c>
      <c r="I861" t="s">
        <v>2863</v>
      </c>
      <c r="J861" s="2">
        <v>43944.822662037041</v>
      </c>
      <c r="K861" t="s">
        <v>3672</v>
      </c>
      <c r="M861">
        <f>IFERROR(FIND(",",E861),0)</f>
        <v>10</v>
      </c>
      <c r="N861">
        <f>LEN(E861)</f>
        <v>19</v>
      </c>
    </row>
    <row r="862" spans="1:14" outlineLevel="2" x14ac:dyDescent="0.3">
      <c r="A862" s="4" t="s">
        <v>5204</v>
      </c>
      <c r="B862" s="4" t="s">
        <v>532</v>
      </c>
      <c r="C862" s="12">
        <v>33323</v>
      </c>
      <c r="D862" s="4" t="s">
        <v>2025</v>
      </c>
      <c r="E862" s="4" t="s">
        <v>2026</v>
      </c>
      <c r="F862" s="4" t="str">
        <f>IF(separador &gt; 0, LEFT(E862,separador - 1), E862)</f>
        <v>82 Kingsway</v>
      </c>
      <c r="G862" s="4" t="str">
        <f>IF(separador &gt; 0, RIGHT(E862,largo -separador - 1),"-")</f>
        <v>-</v>
      </c>
      <c r="H862" s="4" t="s">
        <v>4200</v>
      </c>
      <c r="I862" s="4" t="s">
        <v>3212</v>
      </c>
      <c r="J862" s="13">
        <v>38697.586030092592</v>
      </c>
      <c r="K862" s="4" t="s">
        <v>3672</v>
      </c>
      <c r="M862" s="4">
        <f>IFERROR(FIND(",",E862),0)</f>
        <v>0</v>
      </c>
      <c r="N862" s="4">
        <f>LEN(E862)</f>
        <v>11</v>
      </c>
    </row>
    <row r="863" spans="1:14" outlineLevel="2" x14ac:dyDescent="0.3">
      <c r="A863" t="s">
        <v>4765</v>
      </c>
      <c r="B863" t="s">
        <v>93</v>
      </c>
      <c r="C863" s="1">
        <v>33060</v>
      </c>
      <c r="D863" t="s">
        <v>1180</v>
      </c>
      <c r="E863" t="s">
        <v>1181</v>
      </c>
      <c r="F863" t="str">
        <f>IF(separador &gt; 0, LEFT(E863,separador - 1), E863)</f>
        <v>WORCESTER</v>
      </c>
      <c r="G863" t="str">
        <f>IF(separador &gt; 0, RIGHT(E863,largo -separador - 1),"-")</f>
        <v>-</v>
      </c>
      <c r="H863" t="s">
        <v>3761</v>
      </c>
      <c r="I863" t="s">
        <v>2779</v>
      </c>
      <c r="J863" s="2">
        <v>42624.166006944448</v>
      </c>
      <c r="K863" t="s">
        <v>3672</v>
      </c>
      <c r="M863">
        <f>IFERROR(FIND(",",E863),0)</f>
        <v>0</v>
      </c>
      <c r="N863">
        <f>LEN(E863)</f>
        <v>9</v>
      </c>
    </row>
    <row r="864" spans="1:14" outlineLevel="2" x14ac:dyDescent="0.3">
      <c r="A864" s="4" t="s">
        <v>5301</v>
      </c>
      <c r="B864" s="4" t="s">
        <v>629</v>
      </c>
      <c r="C864" s="12">
        <v>32994</v>
      </c>
      <c r="D864" s="4" t="s">
        <v>1960</v>
      </c>
      <c r="E864" s="4" t="s">
        <v>2154</v>
      </c>
      <c r="F864" s="4" t="str">
        <f>IF(separador &gt; 0, LEFT(E864,separador - 1), E864)</f>
        <v>NW12 4XH</v>
      </c>
      <c r="G864" s="4" t="str">
        <f>IF(separador &gt; 0, RIGHT(E864,largo -separador - 1),"-")</f>
        <v>-</v>
      </c>
      <c r="H864" s="4" t="s">
        <v>4297</v>
      </c>
      <c r="I864" s="4" t="s">
        <v>3306</v>
      </c>
      <c r="J864" s="13">
        <v>40282.743206018517</v>
      </c>
      <c r="K864" s="4" t="s">
        <v>3672</v>
      </c>
      <c r="M864" s="4">
        <f>IFERROR(FIND(",",E864),0)</f>
        <v>0</v>
      </c>
      <c r="N864" s="4">
        <f>LEN(E864)</f>
        <v>8</v>
      </c>
    </row>
    <row r="865" spans="1:14" outlineLevel="2" x14ac:dyDescent="0.3">
      <c r="A865" t="s">
        <v>5281</v>
      </c>
      <c r="B865" t="s">
        <v>609</v>
      </c>
      <c r="C865" s="1">
        <v>32984</v>
      </c>
      <c r="D865" t="s">
        <v>2127</v>
      </c>
      <c r="E865" t="s">
        <v>1960</v>
      </c>
      <c r="F865" t="str">
        <f>IF(separador &gt; 0, LEFT(E865,separador - 1), E865)</f>
        <v>London</v>
      </c>
      <c r="G865" t="str">
        <f>IF(separador &gt; 0, RIGHT(E865,largo -separador - 1),"-")</f>
        <v>-</v>
      </c>
      <c r="H865" t="s">
        <v>4277</v>
      </c>
      <c r="I865" t="s">
        <v>3287</v>
      </c>
      <c r="J865" s="2">
        <v>40410.157106481478</v>
      </c>
      <c r="K865" t="s">
        <v>3672</v>
      </c>
      <c r="M865">
        <f>IFERROR(FIND(",",E865),0)</f>
        <v>0</v>
      </c>
      <c r="N865">
        <f>LEN(E865)</f>
        <v>6</v>
      </c>
    </row>
    <row r="866" spans="1:14" outlineLevel="2" x14ac:dyDescent="0.3">
      <c r="A866" s="4" t="s">
        <v>4679</v>
      </c>
      <c r="B866" s="4" t="s">
        <v>7</v>
      </c>
      <c r="C866" s="12">
        <v>32979</v>
      </c>
      <c r="D866" s="4" t="s">
        <v>1008</v>
      </c>
      <c r="E866" s="4" t="s">
        <v>1009</v>
      </c>
      <c r="F866" s="4" t="str">
        <f>IF(separador &gt; 0, LEFT(E866,separador - 1), E866)</f>
        <v>Aberdeen</v>
      </c>
      <c r="G866" s="4" t="str">
        <f>IF(separador &gt; 0, RIGHT(E866,largo -separador - 1),"-")</f>
        <v>SD 57401</v>
      </c>
      <c r="H866" s="4" t="s">
        <v>3675</v>
      </c>
      <c r="I866" s="4" t="s">
        <v>2693</v>
      </c>
      <c r="J866" s="13">
        <v>39340.125821759262</v>
      </c>
      <c r="K866" s="4" t="s">
        <v>3672</v>
      </c>
      <c r="M866" s="4">
        <f>IFERROR(FIND(",",E866),0)</f>
        <v>9</v>
      </c>
      <c r="N866" s="4">
        <f>LEN(E866)</f>
        <v>18</v>
      </c>
    </row>
    <row r="867" spans="1:14" outlineLevel="2" x14ac:dyDescent="0.3">
      <c r="A867" t="s">
        <v>5121</v>
      </c>
      <c r="B867" t="s">
        <v>449</v>
      </c>
      <c r="C867" s="1">
        <v>32941</v>
      </c>
      <c r="D867" t="s">
        <v>1891</v>
      </c>
      <c r="E867" t="s">
        <v>1892</v>
      </c>
      <c r="F867" t="str">
        <f>IF(separador &gt; 0, LEFT(E867,separador - 1), E867)</f>
        <v>95 Sierra Avenue</v>
      </c>
      <c r="G867" t="str">
        <f>IF(separador &gt; 0, RIGHT(E867,largo -separador - 1),"-")</f>
        <v>-</v>
      </c>
      <c r="H867" t="s">
        <v>4117</v>
      </c>
      <c r="I867" t="s">
        <v>3130</v>
      </c>
      <c r="J867" s="2">
        <v>43841.962916666664</v>
      </c>
      <c r="K867" t="s">
        <v>3672</v>
      </c>
      <c r="M867">
        <f>IFERROR(FIND(",",E867),0)</f>
        <v>0</v>
      </c>
      <c r="N867">
        <f>LEN(E867)</f>
        <v>16</v>
      </c>
    </row>
    <row r="868" spans="1:14" outlineLevel="2" x14ac:dyDescent="0.3">
      <c r="A868" s="4" t="s">
        <v>5232</v>
      </c>
      <c r="B868" s="4" t="s">
        <v>560</v>
      </c>
      <c r="C868" s="12">
        <v>32918</v>
      </c>
      <c r="D868" s="4" t="s">
        <v>1960</v>
      </c>
      <c r="E868" s="4" t="s">
        <v>2062</v>
      </c>
      <c r="F868" s="4" t="str">
        <f>IF(separador &gt; 0, LEFT(E868,separador - 1), E868)</f>
        <v>N83 0BL</v>
      </c>
      <c r="G868" s="4" t="str">
        <f>IF(separador &gt; 0, RIGHT(E868,largo -separador - 1),"-")</f>
        <v>-</v>
      </c>
      <c r="H868" s="4" t="s">
        <v>4228</v>
      </c>
      <c r="I868" s="4" t="s">
        <v>3240</v>
      </c>
      <c r="J868" s="13">
        <v>41905.536249999997</v>
      </c>
      <c r="K868" s="4" t="s">
        <v>3672</v>
      </c>
      <c r="M868" s="4">
        <f>IFERROR(FIND(",",E868),0)</f>
        <v>0</v>
      </c>
      <c r="N868" s="4">
        <f>LEN(E868)</f>
        <v>7</v>
      </c>
    </row>
    <row r="869" spans="1:14" outlineLevel="2" x14ac:dyDescent="0.3">
      <c r="A869" t="s">
        <v>4782</v>
      </c>
      <c r="B869" t="s">
        <v>110</v>
      </c>
      <c r="C869" s="1">
        <v>32906</v>
      </c>
      <c r="D869" t="s">
        <v>1214</v>
      </c>
      <c r="E869" t="s">
        <v>1215</v>
      </c>
      <c r="F869" t="str">
        <f>IF(separador &gt; 0, LEFT(E869,separador - 1), E869)</f>
        <v>DG73 0TH</v>
      </c>
      <c r="G869" t="str">
        <f>IF(separador &gt; 0, RIGHT(E869,largo -separador - 1),"-")</f>
        <v>-</v>
      </c>
      <c r="H869" t="s">
        <v>3778</v>
      </c>
      <c r="I869" t="s">
        <v>2796</v>
      </c>
      <c r="J869" s="2">
        <v>42062.179050925923</v>
      </c>
      <c r="K869" t="s">
        <v>3672</v>
      </c>
      <c r="M869">
        <f>IFERROR(FIND(",",E869),0)</f>
        <v>0</v>
      </c>
      <c r="N869">
        <f>LEN(E869)</f>
        <v>8</v>
      </c>
    </row>
    <row r="870" spans="1:14" outlineLevel="2" x14ac:dyDescent="0.3">
      <c r="A870" s="4" t="s">
        <v>4883</v>
      </c>
      <c r="B870" s="4" t="s">
        <v>211</v>
      </c>
      <c r="C870" s="12">
        <v>32866</v>
      </c>
      <c r="D870" s="4" t="s">
        <v>1416</v>
      </c>
      <c r="E870" s="4" t="s">
        <v>1417</v>
      </c>
      <c r="F870" s="4" t="str">
        <f>IF(separador &gt; 0, LEFT(E870,separador - 1), E870)</f>
        <v>67 William Drive</v>
      </c>
      <c r="G870" s="4" t="str">
        <f>IF(separador &gt; 0, RIGHT(E870,largo -separador - 1),"-")</f>
        <v>-</v>
      </c>
      <c r="H870" s="4" t="s">
        <v>3879</v>
      </c>
      <c r="I870" s="4" t="s">
        <v>2895</v>
      </c>
      <c r="J870" s="13">
        <v>43637.900636574072</v>
      </c>
      <c r="K870" s="4" t="s">
        <v>3672</v>
      </c>
      <c r="M870" s="4">
        <f>IFERROR(FIND(",",E870),0)</f>
        <v>0</v>
      </c>
      <c r="N870" s="4">
        <f>LEN(E870)</f>
        <v>16</v>
      </c>
    </row>
    <row r="871" spans="1:14" outlineLevel="2" x14ac:dyDescent="0.3">
      <c r="A871" t="s">
        <v>5027</v>
      </c>
      <c r="B871" t="s">
        <v>355</v>
      </c>
      <c r="C871" s="1">
        <v>32695</v>
      </c>
      <c r="D871" t="s">
        <v>1704</v>
      </c>
      <c r="E871" t="s">
        <v>1705</v>
      </c>
      <c r="F871" t="str">
        <f>IF(separador &gt; 0, LEFT(E871,separador - 1), E871)</f>
        <v>15 Bow Ridge Dr.</v>
      </c>
      <c r="G871" t="str">
        <f>IF(separador &gt; 0, RIGHT(E871,largo -separador - 1),"-")</f>
        <v>-</v>
      </c>
      <c r="H871" t="s">
        <v>4023</v>
      </c>
      <c r="I871" t="s">
        <v>3037</v>
      </c>
      <c r="J871" s="2">
        <v>38613.137199074074</v>
      </c>
      <c r="K871" t="s">
        <v>3672</v>
      </c>
      <c r="M871">
        <f>IFERROR(FIND(",",E871),0)</f>
        <v>0</v>
      </c>
      <c r="N871">
        <f>LEN(E871)</f>
        <v>16</v>
      </c>
    </row>
    <row r="872" spans="1:14" outlineLevel="2" x14ac:dyDescent="0.3">
      <c r="A872" s="4" t="s">
        <v>4754</v>
      </c>
      <c r="B872" s="4" t="s">
        <v>82</v>
      </c>
      <c r="C872" s="12">
        <v>32694</v>
      </c>
      <c r="D872" s="4" t="s">
        <v>1158</v>
      </c>
      <c r="E872" s="4" t="s">
        <v>1159</v>
      </c>
      <c r="F872" s="4" t="str">
        <f>IF(separador &gt; 0, LEFT(E872,separador - 1), E872)</f>
        <v>73 Grove Road</v>
      </c>
      <c r="G872" s="4" t="str">
        <f>IF(separador &gt; 0, RIGHT(E872,largo -separador - 1),"-")</f>
        <v>-</v>
      </c>
      <c r="H872" s="4" t="s">
        <v>3750</v>
      </c>
      <c r="I872" s="4" t="s">
        <v>2768</v>
      </c>
      <c r="J872" s="13">
        <v>40549.198252314818</v>
      </c>
      <c r="K872" s="4" t="s">
        <v>3672</v>
      </c>
      <c r="M872" s="4">
        <f>IFERROR(FIND(",",E872),0)</f>
        <v>0</v>
      </c>
      <c r="N872" s="4">
        <f>LEN(E872)</f>
        <v>13</v>
      </c>
    </row>
    <row r="873" spans="1:14" outlineLevel="2" x14ac:dyDescent="0.3">
      <c r="A873" t="s">
        <v>5113</v>
      </c>
      <c r="B873" t="s">
        <v>441</v>
      </c>
      <c r="C873" s="1">
        <v>32689</v>
      </c>
      <c r="D873" t="s">
        <v>1875</v>
      </c>
      <c r="E873" t="s">
        <v>1876</v>
      </c>
      <c r="F873" t="str">
        <f>IF(separador &gt; 0, LEFT(E873,separador - 1), E873)</f>
        <v>359 South College Lane</v>
      </c>
      <c r="G873" t="str">
        <f>IF(separador &gt; 0, RIGHT(E873,largo -separador - 1),"-")</f>
        <v>-</v>
      </c>
      <c r="H873" t="s">
        <v>4109</v>
      </c>
      <c r="I873" t="s">
        <v>3122</v>
      </c>
      <c r="J873" s="2">
        <v>40217.636030092595</v>
      </c>
      <c r="K873" t="s">
        <v>3672</v>
      </c>
      <c r="M873">
        <f>IFERROR(FIND(",",E873),0)</f>
        <v>0</v>
      </c>
      <c r="N873">
        <f>LEN(E873)</f>
        <v>22</v>
      </c>
    </row>
    <row r="874" spans="1:14" outlineLevel="2" x14ac:dyDescent="0.3">
      <c r="A874" s="4" t="s">
        <v>4992</v>
      </c>
      <c r="B874" s="4" t="s">
        <v>320</v>
      </c>
      <c r="C874" s="12">
        <v>32655</v>
      </c>
      <c r="D874" s="4" t="s">
        <v>1634</v>
      </c>
      <c r="E874" s="4" t="s">
        <v>1635</v>
      </c>
      <c r="F874" s="4" t="str">
        <f>IF(separador &gt; 0, LEFT(E874,separador - 1), E874)</f>
        <v>107 Cedar Street</v>
      </c>
      <c r="G874" s="4" t="str">
        <f>IF(separador &gt; 0, RIGHT(E874,largo -separador - 1),"-")</f>
        <v>-</v>
      </c>
      <c r="H874" s="4" t="s">
        <v>3988</v>
      </c>
      <c r="I874" s="4" t="s">
        <v>3002</v>
      </c>
      <c r="J874" s="13">
        <v>41802.567615740743</v>
      </c>
      <c r="K874" s="4" t="s">
        <v>3672</v>
      </c>
      <c r="M874" s="4">
        <f>IFERROR(FIND(",",E874),0)</f>
        <v>0</v>
      </c>
      <c r="N874" s="4">
        <f>LEN(E874)</f>
        <v>16</v>
      </c>
    </row>
    <row r="875" spans="1:14" outlineLevel="2" x14ac:dyDescent="0.3">
      <c r="A875" t="s">
        <v>5618</v>
      </c>
      <c r="B875" t="s">
        <v>946</v>
      </c>
      <c r="C875" s="1">
        <v>32590</v>
      </c>
      <c r="D875" t="s">
        <v>2633</v>
      </c>
      <c r="E875" t="s">
        <v>2572</v>
      </c>
      <c r="F875" t="str">
        <f>IF(separador &gt; 0, LEFT(E875,separador - 1), E875)</f>
        <v>Troy</v>
      </c>
      <c r="G875" t="str">
        <f>IF(separador &gt; 0, RIGHT(E875,largo -separador - 1),"-")</f>
        <v>NY 12180</v>
      </c>
      <c r="H875" t="s">
        <v>4614</v>
      </c>
      <c r="I875" t="s">
        <v>3615</v>
      </c>
      <c r="J875" s="2">
        <v>40909.384375000001</v>
      </c>
      <c r="K875" t="s">
        <v>3672</v>
      </c>
      <c r="M875">
        <f>IFERROR(FIND(",",E875),0)</f>
        <v>5</v>
      </c>
      <c r="N875">
        <f>LEN(E875)</f>
        <v>14</v>
      </c>
    </row>
    <row r="876" spans="1:14" outlineLevel="2" x14ac:dyDescent="0.3">
      <c r="A876" s="4" t="s">
        <v>5007</v>
      </c>
      <c r="B876" s="4" t="s">
        <v>335</v>
      </c>
      <c r="C876" s="12">
        <v>32483</v>
      </c>
      <c r="D876" s="4" t="s">
        <v>1664</v>
      </c>
      <c r="E876" s="4" t="s">
        <v>1665</v>
      </c>
      <c r="F876" s="4" t="str">
        <f>IF(separador &gt; 0, LEFT(E876,separador - 1), E876)</f>
        <v>7342A Edgefield Street</v>
      </c>
      <c r="G876" s="4" t="str">
        <f>IF(separador &gt; 0, RIGHT(E876,largo -separador - 1),"-")</f>
        <v>-</v>
      </c>
      <c r="H876" s="4" t="s">
        <v>4003</v>
      </c>
      <c r="I876" s="4" t="s">
        <v>3017</v>
      </c>
      <c r="J876" s="13">
        <v>42585.047337962962</v>
      </c>
      <c r="K876" s="4" t="s">
        <v>3672</v>
      </c>
      <c r="M876" s="4">
        <f>IFERROR(FIND(",",E876),0)</f>
        <v>0</v>
      </c>
      <c r="N876" s="4">
        <f>LEN(E876)</f>
        <v>22</v>
      </c>
    </row>
    <row r="877" spans="1:14" outlineLevel="2" x14ac:dyDescent="0.3">
      <c r="A877" t="s">
        <v>5300</v>
      </c>
      <c r="B877" t="s">
        <v>628</v>
      </c>
      <c r="C877" s="1">
        <v>32481</v>
      </c>
      <c r="D877" t="s">
        <v>2152</v>
      </c>
      <c r="E877" t="s">
        <v>2153</v>
      </c>
      <c r="F877" t="str">
        <f>IF(separador &gt; 0, LEFT(E877,separador - 1), E877)</f>
        <v>9 Chester Road</v>
      </c>
      <c r="G877" t="str">
        <f>IF(separador &gt; 0, RIGHT(E877,largo -separador - 1),"-")</f>
        <v>-</v>
      </c>
      <c r="H877" t="s">
        <v>4296</v>
      </c>
      <c r="I877" t="s">
        <v>3305</v>
      </c>
      <c r="J877" s="2">
        <v>40331.474629629629</v>
      </c>
      <c r="K877" t="s">
        <v>3672</v>
      </c>
      <c r="M877">
        <f>IFERROR(FIND(",",E877),0)</f>
        <v>0</v>
      </c>
      <c r="N877">
        <f>LEN(E877)</f>
        <v>14</v>
      </c>
    </row>
    <row r="878" spans="1:14" outlineLevel="2" x14ac:dyDescent="0.3">
      <c r="A878" s="4" t="s">
        <v>4864</v>
      </c>
      <c r="B878" s="4" t="s">
        <v>192</v>
      </c>
      <c r="C878" s="12">
        <v>32429</v>
      </c>
      <c r="D878" s="4" t="s">
        <v>1378</v>
      </c>
      <c r="E878" s="4" t="s">
        <v>1379</v>
      </c>
      <c r="F878" s="4" t="str">
        <f>IF(separador &gt; 0, LEFT(E878,separador - 1), E878)</f>
        <v>9160 Mammoth Ave.</v>
      </c>
      <c r="G878" s="4" t="str">
        <f>IF(separador &gt; 0, RIGHT(E878,largo -separador - 1),"-")</f>
        <v>-</v>
      </c>
      <c r="H878" s="4" t="s">
        <v>3860</v>
      </c>
      <c r="I878" s="4" t="s">
        <v>2876</v>
      </c>
      <c r="J878" s="13">
        <v>41507.680972222224</v>
      </c>
      <c r="K878" s="4" t="s">
        <v>3672</v>
      </c>
      <c r="M878" s="4">
        <f>IFERROR(FIND(",",E878),0)</f>
        <v>0</v>
      </c>
      <c r="N878" s="4">
        <f>LEN(E878)</f>
        <v>17</v>
      </c>
    </row>
    <row r="879" spans="1:14" outlineLevel="2" x14ac:dyDescent="0.3">
      <c r="A879" t="s">
        <v>5586</v>
      </c>
      <c r="B879" t="s">
        <v>914</v>
      </c>
      <c r="C879" s="1">
        <v>32386</v>
      </c>
      <c r="D879" t="s">
        <v>2601</v>
      </c>
      <c r="E879" t="s">
        <v>2364</v>
      </c>
      <c r="F879" t="str">
        <f>IF(separador &gt; 0, LEFT(E879,separador - 1), E879)</f>
        <v>Huntington Station</v>
      </c>
      <c r="G879" t="str">
        <f>IF(separador &gt; 0, RIGHT(E879,largo -separador - 1),"-")</f>
        <v>NY 11746</v>
      </c>
      <c r="H879" t="s">
        <v>4582</v>
      </c>
      <c r="I879" t="s">
        <v>3584</v>
      </c>
      <c r="J879" s="2">
        <v>39594.054120370369</v>
      </c>
      <c r="K879" t="s">
        <v>3672</v>
      </c>
      <c r="M879">
        <f>IFERROR(FIND(",",E879),0)</f>
        <v>19</v>
      </c>
      <c r="N879">
        <f>LEN(E879)</f>
        <v>28</v>
      </c>
    </row>
    <row r="880" spans="1:14" outlineLevel="2" x14ac:dyDescent="0.3">
      <c r="A880" s="4" t="s">
        <v>5433</v>
      </c>
      <c r="B880" s="4" t="s">
        <v>761</v>
      </c>
      <c r="C880" s="12">
        <v>32352</v>
      </c>
      <c r="D880" s="4" t="s">
        <v>1960</v>
      </c>
      <c r="E880" s="4" t="s">
        <v>2329</v>
      </c>
      <c r="F880" s="4" t="str">
        <f>IF(separador &gt; 0, LEFT(E880,separador - 1), E880)</f>
        <v>E73 0ZM</v>
      </c>
      <c r="G880" s="4" t="str">
        <f>IF(separador &gt; 0, RIGHT(E880,largo -separador - 1),"-")</f>
        <v>-</v>
      </c>
      <c r="H880" s="4" t="s">
        <v>4429</v>
      </c>
      <c r="I880" s="4" t="s">
        <v>3434</v>
      </c>
      <c r="J880" s="13">
        <v>40994.507210648146</v>
      </c>
      <c r="K880" s="4" t="s">
        <v>3672</v>
      </c>
      <c r="M880" s="4">
        <f>IFERROR(FIND(",",E880),0)</f>
        <v>0</v>
      </c>
      <c r="N880" s="4">
        <f>LEN(E880)</f>
        <v>7</v>
      </c>
    </row>
    <row r="881" spans="1:14" outlineLevel="2" x14ac:dyDescent="0.3">
      <c r="A881" t="s">
        <v>5109</v>
      </c>
      <c r="B881" t="s">
        <v>437</v>
      </c>
      <c r="C881" s="1">
        <v>32254</v>
      </c>
      <c r="D881" t="s">
        <v>1867</v>
      </c>
      <c r="E881" t="s">
        <v>1868</v>
      </c>
      <c r="F881" t="str">
        <f>IF(separador &gt; 0, LEFT(E881,separador - 1), E881)</f>
        <v>9830 Shadow Brook Street</v>
      </c>
      <c r="G881" t="str">
        <f>IF(separador &gt; 0, RIGHT(E881,largo -separador - 1),"-")</f>
        <v>-</v>
      </c>
      <c r="H881" t="s">
        <v>4105</v>
      </c>
      <c r="I881" t="s">
        <v>3118</v>
      </c>
      <c r="J881" s="2">
        <v>39601.08934027778</v>
      </c>
      <c r="K881" t="s">
        <v>3672</v>
      </c>
      <c r="M881">
        <f>IFERROR(FIND(",",E881),0)</f>
        <v>0</v>
      </c>
      <c r="N881">
        <f>LEN(E881)</f>
        <v>24</v>
      </c>
    </row>
    <row r="882" spans="1:14" outlineLevel="2" x14ac:dyDescent="0.3">
      <c r="A882" s="4" t="s">
        <v>5448</v>
      </c>
      <c r="B882" s="4" t="s">
        <v>776</v>
      </c>
      <c r="C882" s="12">
        <v>32172</v>
      </c>
      <c r="D882" s="4" t="s">
        <v>2355</v>
      </c>
      <c r="E882" s="4" t="s">
        <v>2356</v>
      </c>
      <c r="F882" s="4" t="str">
        <f>IF(separador &gt; 0, LEFT(E882,separador - 1), E882)</f>
        <v>Spring Valley</v>
      </c>
      <c r="G882" s="4" t="str">
        <f>IF(separador &gt; 0, RIGHT(E882,largo -separador - 1),"-")</f>
        <v>NY 10977</v>
      </c>
      <c r="H882" s="4" t="s">
        <v>4444</v>
      </c>
      <c r="I882" s="4" t="s">
        <v>3447</v>
      </c>
      <c r="J882" s="13">
        <v>38468.540844907409</v>
      </c>
      <c r="K882" s="4" t="s">
        <v>3672</v>
      </c>
      <c r="M882" s="4">
        <f>IFERROR(FIND(",",E882),0)</f>
        <v>14</v>
      </c>
      <c r="N882" s="4">
        <f>LEN(E882)</f>
        <v>23</v>
      </c>
    </row>
    <row r="883" spans="1:14" outlineLevel="2" x14ac:dyDescent="0.3">
      <c r="A883" t="s">
        <v>5004</v>
      </c>
      <c r="B883" t="s">
        <v>332</v>
      </c>
      <c r="C883" s="1">
        <v>32132</v>
      </c>
      <c r="D883" t="s">
        <v>1658</v>
      </c>
      <c r="E883" t="s">
        <v>1659</v>
      </c>
      <c r="F883" t="str">
        <f>IF(separador &gt; 0, LEFT(E883,separador - 1), E883)</f>
        <v>7342 Woodland Avenue</v>
      </c>
      <c r="G883" t="str">
        <f>IF(separador &gt; 0, RIGHT(E883,largo -separador - 1),"-")</f>
        <v>-</v>
      </c>
      <c r="H883" t="s">
        <v>4000</v>
      </c>
      <c r="I883" t="s">
        <v>3014</v>
      </c>
      <c r="J883" s="2">
        <v>43550.374409722222</v>
      </c>
      <c r="K883" t="s">
        <v>3672</v>
      </c>
      <c r="M883">
        <f>IFERROR(FIND(",",E883),0)</f>
        <v>0</v>
      </c>
      <c r="N883">
        <f>LEN(E883)</f>
        <v>20</v>
      </c>
    </row>
    <row r="884" spans="1:14" outlineLevel="2" x14ac:dyDescent="0.3">
      <c r="A884" s="4" t="s">
        <v>4829</v>
      </c>
      <c r="B884" s="4" t="s">
        <v>157</v>
      </c>
      <c r="C884" s="12">
        <v>32122</v>
      </c>
      <c r="D884" s="4" t="s">
        <v>1308</v>
      </c>
      <c r="E884" s="4" t="s">
        <v>1309</v>
      </c>
      <c r="F884" s="4" t="str">
        <f>IF(separador &gt; 0, LEFT(E884,separador - 1), E884)</f>
        <v>San Diego</v>
      </c>
      <c r="G884" s="4" t="str">
        <f>IF(separador &gt; 0, RIGHT(E884,largo -separador - 1),"-")</f>
        <v>CA 92105</v>
      </c>
      <c r="H884" s="4" t="s">
        <v>3825</v>
      </c>
      <c r="I884" s="4" t="s">
        <v>2843</v>
      </c>
      <c r="J884" s="13">
        <v>40217.169687499998</v>
      </c>
      <c r="K884" s="4" t="s">
        <v>3672</v>
      </c>
      <c r="M884" s="4">
        <f>IFERROR(FIND(",",E884),0)</f>
        <v>10</v>
      </c>
      <c r="N884" s="4">
        <f>LEN(E884)</f>
        <v>19</v>
      </c>
    </row>
    <row r="885" spans="1:14" outlineLevel="2" x14ac:dyDescent="0.3">
      <c r="A885" t="s">
        <v>4932</v>
      </c>
      <c r="B885" t="s">
        <v>260</v>
      </c>
      <c r="C885" s="1">
        <v>32053</v>
      </c>
      <c r="D885" t="s">
        <v>1514</v>
      </c>
      <c r="E885" t="s">
        <v>1515</v>
      </c>
      <c r="F885" t="str">
        <f>IF(separador &gt; 0, LEFT(E885,separador - 1), E885)</f>
        <v>901 Fairway Street</v>
      </c>
      <c r="G885" t="str">
        <f>IF(separador &gt; 0, RIGHT(E885,largo -separador - 1),"-")</f>
        <v>-</v>
      </c>
      <c r="H885" t="s">
        <v>3928</v>
      </c>
      <c r="I885" t="s">
        <v>2943</v>
      </c>
      <c r="J885" s="2">
        <v>39345.462337962963</v>
      </c>
      <c r="K885" t="s">
        <v>3672</v>
      </c>
      <c r="M885">
        <f>IFERROR(FIND(",",E885),0)</f>
        <v>0</v>
      </c>
      <c r="N885">
        <f>LEN(E885)</f>
        <v>18</v>
      </c>
    </row>
    <row r="886" spans="1:14" outlineLevel="2" x14ac:dyDescent="0.3">
      <c r="A886" s="4" t="s">
        <v>5200</v>
      </c>
      <c r="B886" s="4" t="s">
        <v>528</v>
      </c>
      <c r="C886" s="12">
        <v>32052</v>
      </c>
      <c r="D886" s="4" t="s">
        <v>2020</v>
      </c>
      <c r="E886" s="4" t="s">
        <v>1960</v>
      </c>
      <c r="F886" s="4" t="str">
        <f>IF(separador &gt; 0, LEFT(E886,separador - 1), E886)</f>
        <v>London</v>
      </c>
      <c r="G886" s="4" t="str">
        <f>IF(separador &gt; 0, RIGHT(E886,largo -separador - 1),"-")</f>
        <v>-</v>
      </c>
      <c r="H886" s="4" t="s">
        <v>4196</v>
      </c>
      <c r="I886" s="4" t="s">
        <v>3208</v>
      </c>
      <c r="J886" s="13">
        <v>42208.687037037038</v>
      </c>
      <c r="K886" s="4" t="s">
        <v>3672</v>
      </c>
      <c r="M886" s="4">
        <f>IFERROR(FIND(",",E886),0)</f>
        <v>0</v>
      </c>
      <c r="N886" s="4">
        <f>LEN(E886)</f>
        <v>6</v>
      </c>
    </row>
    <row r="887" spans="1:14" outlineLevel="2" x14ac:dyDescent="0.3">
      <c r="A887" t="s">
        <v>5404</v>
      </c>
      <c r="B887" t="s">
        <v>732</v>
      </c>
      <c r="C887" s="1">
        <v>32012</v>
      </c>
      <c r="D887" t="s">
        <v>2290</v>
      </c>
      <c r="E887" t="s">
        <v>1960</v>
      </c>
      <c r="F887" t="str">
        <f>IF(separador &gt; 0, LEFT(E887,separador - 1), E887)</f>
        <v>London</v>
      </c>
      <c r="G887" t="str">
        <f>IF(separador &gt; 0, RIGHT(E887,largo -separador - 1),"-")</f>
        <v>-</v>
      </c>
      <c r="H887" t="s">
        <v>4400</v>
      </c>
      <c r="I887" t="s">
        <v>3407</v>
      </c>
      <c r="J887" s="2">
        <v>42514.24459490741</v>
      </c>
      <c r="K887" t="s">
        <v>3672</v>
      </c>
      <c r="M887">
        <f>IFERROR(FIND(",",E887),0)</f>
        <v>0</v>
      </c>
      <c r="N887">
        <f>LEN(E887)</f>
        <v>6</v>
      </c>
    </row>
    <row r="888" spans="1:14" outlineLevel="2" x14ac:dyDescent="0.3">
      <c r="A888" s="4" t="s">
        <v>4682</v>
      </c>
      <c r="B888" s="4" t="s">
        <v>10</v>
      </c>
      <c r="C888" s="12">
        <v>31885</v>
      </c>
      <c r="D888" s="4" t="s">
        <v>1014</v>
      </c>
      <c r="E888" s="4" t="s">
        <v>1015</v>
      </c>
      <c r="F888" s="4" t="str">
        <f>IF(separador &gt; 0, LEFT(E888,separador - 1), E888)</f>
        <v>Poughkeepsie</v>
      </c>
      <c r="G888" s="4" t="str">
        <f>IF(separador &gt; 0, RIGHT(E888,largo -separador - 1),"-")</f>
        <v>NY 12601</v>
      </c>
      <c r="H888" s="4" t="s">
        <v>3678</v>
      </c>
      <c r="I888" s="4" t="s">
        <v>2696</v>
      </c>
      <c r="J888" s="13">
        <v>39564.845960648148</v>
      </c>
      <c r="K888" s="4" t="s">
        <v>3672</v>
      </c>
      <c r="M888" s="4">
        <f>IFERROR(FIND(",",E888),0)</f>
        <v>13</v>
      </c>
      <c r="N888" s="4">
        <f>LEN(E888)</f>
        <v>22</v>
      </c>
    </row>
    <row r="889" spans="1:14" outlineLevel="2" x14ac:dyDescent="0.3">
      <c r="A889" t="s">
        <v>5141</v>
      </c>
      <c r="B889" t="s">
        <v>469</v>
      </c>
      <c r="C889" s="1">
        <v>31862</v>
      </c>
      <c r="D889" t="s">
        <v>1931</v>
      </c>
      <c r="E889" t="s">
        <v>1932</v>
      </c>
      <c r="F889" t="str">
        <f>IF(separador &gt; 0, LEFT(E889,separador - 1), E889)</f>
        <v>Boynton Beach</v>
      </c>
      <c r="G889" t="str">
        <f>IF(separador &gt; 0, RIGHT(E889,largo -separador - 1),"-")</f>
        <v>FL 33437</v>
      </c>
      <c r="H889" t="s">
        <v>4137</v>
      </c>
      <c r="I889" t="s">
        <v>3150</v>
      </c>
      <c r="J889" s="2">
        <v>40848.874456018515</v>
      </c>
      <c r="K889" t="s">
        <v>3672</v>
      </c>
      <c r="M889">
        <f>IFERROR(FIND(",",E889),0)</f>
        <v>14</v>
      </c>
      <c r="N889">
        <f>LEN(E889)</f>
        <v>23</v>
      </c>
    </row>
    <row r="890" spans="1:14" outlineLevel="2" x14ac:dyDescent="0.3">
      <c r="A890" s="4" t="s">
        <v>4824</v>
      </c>
      <c r="B890" s="4" t="s">
        <v>152</v>
      </c>
      <c r="C890" s="12">
        <v>31850</v>
      </c>
      <c r="D890" s="4" t="s">
        <v>1298</v>
      </c>
      <c r="E890" s="4" t="s">
        <v>1299</v>
      </c>
      <c r="F890" s="4" t="str">
        <f>IF(separador &gt; 0, LEFT(E890,separador - 1), E890)</f>
        <v>Reseda</v>
      </c>
      <c r="G890" s="4" t="str">
        <f>IF(separador &gt; 0, RIGHT(E890,largo -separador - 1),"-")</f>
        <v>CA 91335</v>
      </c>
      <c r="H890" s="4" t="s">
        <v>3820</v>
      </c>
      <c r="I890" s="4" t="s">
        <v>2838</v>
      </c>
      <c r="J890" s="13">
        <v>41027.199699074074</v>
      </c>
      <c r="K890" s="4" t="s">
        <v>3672</v>
      </c>
      <c r="M890" s="4">
        <f>IFERROR(FIND(",",E890),0)</f>
        <v>7</v>
      </c>
      <c r="N890" s="4">
        <f>LEN(E890)</f>
        <v>16</v>
      </c>
    </row>
    <row r="891" spans="1:14" outlineLevel="2" x14ac:dyDescent="0.3">
      <c r="A891" t="s">
        <v>5024</v>
      </c>
      <c r="B891" t="s">
        <v>352</v>
      </c>
      <c r="C891" s="1">
        <v>31801</v>
      </c>
      <c r="D891" t="s">
        <v>1698</v>
      </c>
      <c r="E891" t="s">
        <v>1699</v>
      </c>
      <c r="F891" t="str">
        <f>IF(separador &gt; 0, LEFT(E891,separador - 1), E891)</f>
        <v>88 Deerfield Street</v>
      </c>
      <c r="G891" t="str">
        <f>IF(separador &gt; 0, RIGHT(E891,largo -separador - 1),"-")</f>
        <v>-</v>
      </c>
      <c r="H891" t="s">
        <v>4020</v>
      </c>
      <c r="I891" t="s">
        <v>3034</v>
      </c>
      <c r="J891" s="2">
        <v>42753.787187499998</v>
      </c>
      <c r="K891" t="s">
        <v>3672</v>
      </c>
      <c r="M891">
        <f>IFERROR(FIND(",",E891),0)</f>
        <v>0</v>
      </c>
      <c r="N891">
        <f>LEN(E891)</f>
        <v>19</v>
      </c>
    </row>
    <row r="892" spans="1:14" outlineLevel="2" x14ac:dyDescent="0.3">
      <c r="A892" s="4" t="s">
        <v>5117</v>
      </c>
      <c r="B892" s="4" t="s">
        <v>445</v>
      </c>
      <c r="C892" s="12">
        <v>31785</v>
      </c>
      <c r="D892" s="4" t="s">
        <v>1883</v>
      </c>
      <c r="E892" s="4" t="s">
        <v>1884</v>
      </c>
      <c r="F892" s="4" t="str">
        <f>IF(separador &gt; 0, LEFT(E892,separador - 1), E892)</f>
        <v>170 Indian Spring Rd.</v>
      </c>
      <c r="G892" s="4" t="str">
        <f>IF(separador &gt; 0, RIGHT(E892,largo -separador - 1),"-")</f>
        <v>-</v>
      </c>
      <c r="H892" s="4" t="s">
        <v>4113</v>
      </c>
      <c r="I892" s="4" t="s">
        <v>3126</v>
      </c>
      <c r="J892" s="13">
        <v>40305.466886574075</v>
      </c>
      <c r="K892" s="4" t="s">
        <v>3672</v>
      </c>
      <c r="M892" s="4">
        <f>IFERROR(FIND(",",E892),0)</f>
        <v>0</v>
      </c>
      <c r="N892" s="4">
        <f>LEN(E892)</f>
        <v>21</v>
      </c>
    </row>
    <row r="893" spans="1:14" outlineLevel="2" x14ac:dyDescent="0.3">
      <c r="A893" t="s">
        <v>4686</v>
      </c>
      <c r="B893" t="s">
        <v>14</v>
      </c>
      <c r="C893" s="1">
        <v>31781</v>
      </c>
      <c r="D893" t="s">
        <v>1022</v>
      </c>
      <c r="E893" t="s">
        <v>1023</v>
      </c>
      <c r="F893" t="str">
        <f>IF(separador &gt; 0, LEFT(E893,separador - 1), E893)</f>
        <v>Rego Park</v>
      </c>
      <c r="G893" t="str">
        <f>IF(separador &gt; 0, RIGHT(E893,largo -separador - 1),"-")</f>
        <v>NY 11374</v>
      </c>
      <c r="H893" t="s">
        <v>3682</v>
      </c>
      <c r="I893" t="s">
        <v>2700</v>
      </c>
      <c r="J893" s="2">
        <v>39445.145254629628</v>
      </c>
      <c r="K893" t="s">
        <v>3672</v>
      </c>
      <c r="M893">
        <f>IFERROR(FIND(",",E893),0)</f>
        <v>10</v>
      </c>
      <c r="N893">
        <f>LEN(E893)</f>
        <v>19</v>
      </c>
    </row>
    <row r="894" spans="1:14" outlineLevel="2" x14ac:dyDescent="0.3">
      <c r="A894" s="4" t="s">
        <v>4844</v>
      </c>
      <c r="B894" s="4" t="s">
        <v>172</v>
      </c>
      <c r="C894" s="12">
        <v>31722</v>
      </c>
      <c r="D894" s="4" t="s">
        <v>1338</v>
      </c>
      <c r="E894" s="4" t="s">
        <v>1339</v>
      </c>
      <c r="F894" s="4" t="str">
        <f>IF(separador &gt; 0, LEFT(E894,separador - 1), E894)</f>
        <v>Ontario</v>
      </c>
      <c r="G894" s="4" t="str">
        <f>IF(separador &gt; 0, RIGHT(E894,largo -separador - 1),"-")</f>
        <v>CA 91762</v>
      </c>
      <c r="H894" s="4" t="s">
        <v>3840</v>
      </c>
      <c r="I894" s="4" t="s">
        <v>2857</v>
      </c>
      <c r="J894" s="13">
        <v>40265.384293981479</v>
      </c>
      <c r="K894" s="4" t="s">
        <v>3672</v>
      </c>
      <c r="M894" s="4">
        <f>IFERROR(FIND(",",E894),0)</f>
        <v>8</v>
      </c>
      <c r="N894" s="4">
        <f>LEN(E894)</f>
        <v>17</v>
      </c>
    </row>
    <row r="895" spans="1:14" outlineLevel="2" x14ac:dyDescent="0.3">
      <c r="A895" t="s">
        <v>5555</v>
      </c>
      <c r="B895" t="s">
        <v>883</v>
      </c>
      <c r="C895" s="1">
        <v>31703</v>
      </c>
      <c r="D895" t="s">
        <v>2567</v>
      </c>
      <c r="E895" t="s">
        <v>2568</v>
      </c>
      <c r="F895" t="str">
        <f>IF(separador &gt; 0, LEFT(E895,separador - 1), E895)</f>
        <v>Buffalo</v>
      </c>
      <c r="G895" t="str">
        <f>IF(separador &gt; 0, RIGHT(E895,largo -separador - 1),"-")</f>
        <v>NY 14215</v>
      </c>
      <c r="H895" t="s">
        <v>4551</v>
      </c>
      <c r="I895" t="s">
        <v>3553</v>
      </c>
      <c r="J895" s="2">
        <v>41467.030057870368</v>
      </c>
      <c r="K895" t="s">
        <v>3672</v>
      </c>
      <c r="M895">
        <f>IFERROR(FIND(",",E895),0)</f>
        <v>8</v>
      </c>
      <c r="N895">
        <f>LEN(E895)</f>
        <v>17</v>
      </c>
    </row>
    <row r="896" spans="1:14" outlineLevel="2" x14ac:dyDescent="0.3">
      <c r="A896" s="4" t="s">
        <v>5528</v>
      </c>
      <c r="B896" s="4" t="s">
        <v>856</v>
      </c>
      <c r="C896" s="12">
        <v>31700</v>
      </c>
      <c r="D896" s="4" t="s">
        <v>2513</v>
      </c>
      <c r="E896" s="4" t="s">
        <v>2514</v>
      </c>
      <c r="F896" s="4" t="str">
        <f>IF(separador &gt; 0, LEFT(E896,separador - 1), E896)</f>
        <v>New York</v>
      </c>
      <c r="G896" s="4" t="str">
        <f>IF(separador &gt; 0, RIGHT(E896,largo -separador - 1),"-")</f>
        <v>NY 10032</v>
      </c>
      <c r="H896" s="4" t="s">
        <v>4524</v>
      </c>
      <c r="I896" s="4" t="s">
        <v>3526</v>
      </c>
      <c r="J896" s="13">
        <v>44322.075925925928</v>
      </c>
      <c r="K896" s="4" t="s">
        <v>3672</v>
      </c>
      <c r="M896" s="4">
        <f>IFERROR(FIND(",",E896),0)</f>
        <v>9</v>
      </c>
      <c r="N896" s="4">
        <f>LEN(E896)</f>
        <v>18</v>
      </c>
    </row>
    <row r="897" spans="1:14" outlineLevel="2" x14ac:dyDescent="0.3">
      <c r="A897" t="s">
        <v>4855</v>
      </c>
      <c r="B897" t="s">
        <v>183</v>
      </c>
      <c r="C897" s="1">
        <v>31696</v>
      </c>
      <c r="D897" t="s">
        <v>1360</v>
      </c>
      <c r="E897" t="s">
        <v>1361</v>
      </c>
      <c r="F897" t="str">
        <f>IF(separador &gt; 0, LEFT(E897,separador - 1), E897)</f>
        <v>81 Morris Drive</v>
      </c>
      <c r="G897" t="str">
        <f>IF(separador &gt; 0, RIGHT(E897,largo -separador - 1),"-")</f>
        <v>-</v>
      </c>
      <c r="H897" t="s">
        <v>3851</v>
      </c>
      <c r="I897" t="s">
        <v>2867</v>
      </c>
      <c r="J897" s="2">
        <v>42563.724317129629</v>
      </c>
      <c r="K897" t="s">
        <v>3672</v>
      </c>
      <c r="M897">
        <f>IFERROR(FIND(",",E897),0)</f>
        <v>0</v>
      </c>
      <c r="N897">
        <f>LEN(E897)</f>
        <v>15</v>
      </c>
    </row>
    <row r="898" spans="1:14" outlineLevel="2" x14ac:dyDescent="0.3">
      <c r="A898" s="4" t="s">
        <v>4818</v>
      </c>
      <c r="B898" s="4" t="s">
        <v>146</v>
      </c>
      <c r="C898" s="12">
        <v>31683</v>
      </c>
      <c r="D898" s="4" t="s">
        <v>1286</v>
      </c>
      <c r="E898" s="4" t="s">
        <v>1287</v>
      </c>
      <c r="F898" s="4" t="str">
        <f>IF(separador &gt; 0, LEFT(E898,separador - 1), E898)</f>
        <v>San Jose</v>
      </c>
      <c r="G898" s="4" t="str">
        <f>IF(separador &gt; 0, RIGHT(E898,largo -separador - 1),"-")</f>
        <v>CA 95122</v>
      </c>
      <c r="H898" s="4" t="s">
        <v>3814</v>
      </c>
      <c r="I898" s="4" t="s">
        <v>2832</v>
      </c>
      <c r="J898" s="13">
        <v>42341.846238425926</v>
      </c>
      <c r="K898" s="4" t="s">
        <v>3672</v>
      </c>
      <c r="M898" s="4">
        <f>IFERROR(FIND(",",E898),0)</f>
        <v>9</v>
      </c>
      <c r="N898" s="4">
        <f>LEN(E898)</f>
        <v>18</v>
      </c>
    </row>
    <row r="899" spans="1:14" outlineLevel="2" x14ac:dyDescent="0.3">
      <c r="A899" t="s">
        <v>5651</v>
      </c>
      <c r="B899" t="s">
        <v>979</v>
      </c>
      <c r="C899" s="1">
        <v>31636</v>
      </c>
      <c r="D899" t="s">
        <v>2666</v>
      </c>
      <c r="E899" t="s">
        <v>2417</v>
      </c>
      <c r="F899" t="str">
        <f>IF(separador &gt; 0, LEFT(E899,separador - 1), E899)</f>
        <v>New York</v>
      </c>
      <c r="G899" t="str">
        <f>IF(separador &gt; 0, RIGHT(E899,largo -separador - 1),"-")</f>
        <v>NY 10025</v>
      </c>
      <c r="H899" t="s">
        <v>4647</v>
      </c>
      <c r="I899" t="s">
        <v>3645</v>
      </c>
      <c r="J899" s="2">
        <v>42762.995034722226</v>
      </c>
      <c r="K899" t="s">
        <v>3672</v>
      </c>
      <c r="M899">
        <f>IFERROR(FIND(",",E899),0)</f>
        <v>9</v>
      </c>
      <c r="N899">
        <f>LEN(E899)</f>
        <v>18</v>
      </c>
    </row>
    <row r="900" spans="1:14" outlineLevel="2" x14ac:dyDescent="0.3">
      <c r="A900" s="4" t="s">
        <v>4678</v>
      </c>
      <c r="B900" s="4" t="s">
        <v>6</v>
      </c>
      <c r="C900" s="12">
        <v>31636</v>
      </c>
      <c r="D900" s="4" t="s">
        <v>1006</v>
      </c>
      <c r="E900" s="4" t="s">
        <v>1007</v>
      </c>
      <c r="F900" s="4" t="str">
        <f>IF(separador &gt; 0, LEFT(E900,separador - 1), E900)</f>
        <v>Hermitage</v>
      </c>
      <c r="G900" s="4" t="str">
        <f>IF(separador &gt; 0, RIGHT(E900,largo -separador - 1),"-")</f>
        <v>TN 37076</v>
      </c>
      <c r="H900" s="4" t="s">
        <v>3674</v>
      </c>
      <c r="I900" s="4" t="s">
        <v>2692</v>
      </c>
      <c r="J900" s="13">
        <v>38433.654305555552</v>
      </c>
      <c r="K900" s="4" t="s">
        <v>3672</v>
      </c>
      <c r="M900" s="4">
        <f>IFERROR(FIND(",",E900),0)</f>
        <v>10</v>
      </c>
      <c r="N900" s="4">
        <f>LEN(E900)</f>
        <v>19</v>
      </c>
    </row>
    <row r="901" spans="1:14" outlineLevel="2" x14ac:dyDescent="0.3">
      <c r="A901" t="s">
        <v>4930</v>
      </c>
      <c r="B901" t="s">
        <v>258</v>
      </c>
      <c r="C901" s="1">
        <v>31436</v>
      </c>
      <c r="D901" t="s">
        <v>1510</v>
      </c>
      <c r="E901" t="s">
        <v>1511</v>
      </c>
      <c r="F901" t="str">
        <f>IF(separador &gt; 0, LEFT(E901,separador - 1), E901)</f>
        <v>72 Circle St.</v>
      </c>
      <c r="G901" t="str">
        <f>IF(separador &gt; 0, RIGHT(E901,largo -separador - 1),"-")</f>
        <v>-</v>
      </c>
      <c r="H901" t="s">
        <v>3926</v>
      </c>
      <c r="I901" t="s">
        <v>2941</v>
      </c>
      <c r="J901" s="2">
        <v>39283.893460648149</v>
      </c>
      <c r="K901" t="s">
        <v>3672</v>
      </c>
      <c r="M901">
        <f>IFERROR(FIND(",",E901),0)</f>
        <v>0</v>
      </c>
      <c r="N901">
        <f>LEN(E901)</f>
        <v>13</v>
      </c>
    </row>
    <row r="902" spans="1:14" outlineLevel="2" x14ac:dyDescent="0.3">
      <c r="A902" s="4" t="s">
        <v>4921</v>
      </c>
      <c r="B902" s="4" t="s">
        <v>249</v>
      </c>
      <c r="C902" s="12">
        <v>31362</v>
      </c>
      <c r="D902" s="4" t="s">
        <v>1492</v>
      </c>
      <c r="E902" s="4" t="s">
        <v>1493</v>
      </c>
      <c r="F902" s="4" t="str">
        <f>IF(separador &gt; 0, LEFT(E902,separador - 1), E902)</f>
        <v>2 Beechwood Street</v>
      </c>
      <c r="G902" s="4" t="str">
        <f>IF(separador &gt; 0, RIGHT(E902,largo -separador - 1),"-")</f>
        <v>-</v>
      </c>
      <c r="H902" s="4" t="s">
        <v>3917</v>
      </c>
      <c r="I902" s="4" t="s">
        <v>2932</v>
      </c>
      <c r="J902" s="13">
        <v>39518.585578703707</v>
      </c>
      <c r="K902" s="4" t="s">
        <v>3672</v>
      </c>
      <c r="M902" s="4">
        <f>IFERROR(FIND(",",E902),0)</f>
        <v>0</v>
      </c>
      <c r="N902" s="4">
        <f>LEN(E902)</f>
        <v>18</v>
      </c>
    </row>
    <row r="903" spans="1:14" outlineLevel="2" x14ac:dyDescent="0.3">
      <c r="A903" t="s">
        <v>4897</v>
      </c>
      <c r="B903" t="s">
        <v>225</v>
      </c>
      <c r="C903" s="1">
        <v>31275</v>
      </c>
      <c r="D903" t="s">
        <v>1444</v>
      </c>
      <c r="E903" t="s">
        <v>1445</v>
      </c>
      <c r="F903" t="str">
        <f>IF(separador &gt; 0, LEFT(E903,separador - 1), E903)</f>
        <v>821 Surrey St.</v>
      </c>
      <c r="G903" t="str">
        <f>IF(separador &gt; 0, RIGHT(E903,largo -separador - 1),"-")</f>
        <v>-</v>
      </c>
      <c r="H903" t="s">
        <v>3893</v>
      </c>
      <c r="I903" t="s">
        <v>2908</v>
      </c>
      <c r="J903" s="2">
        <v>38949.136643518519</v>
      </c>
      <c r="K903" t="s">
        <v>3672</v>
      </c>
      <c r="M903">
        <f>IFERROR(FIND(",",E903),0)</f>
        <v>0</v>
      </c>
      <c r="N903">
        <f>LEN(E903)</f>
        <v>14</v>
      </c>
    </row>
    <row r="904" spans="1:14" outlineLevel="2" x14ac:dyDescent="0.3">
      <c r="A904" s="4" t="s">
        <v>4945</v>
      </c>
      <c r="B904" s="4" t="s">
        <v>273</v>
      </c>
      <c r="C904" s="12">
        <v>31077</v>
      </c>
      <c r="D904" s="4" t="s">
        <v>1540</v>
      </c>
      <c r="E904" s="4" t="s">
        <v>1541</v>
      </c>
      <c r="F904" s="4" t="str">
        <f>IF(separador &gt; 0, LEFT(E904,separador - 1), E904)</f>
        <v>209 North Primrose Street</v>
      </c>
      <c r="G904" s="4" t="str">
        <f>IF(separador &gt; 0, RIGHT(E904,largo -separador - 1),"-")</f>
        <v>-</v>
      </c>
      <c r="H904" s="4" t="s">
        <v>3941</v>
      </c>
      <c r="I904" s="4" t="s">
        <v>2956</v>
      </c>
      <c r="J904" s="13">
        <v>39377.973969907405</v>
      </c>
      <c r="K904" s="4" t="s">
        <v>3672</v>
      </c>
      <c r="M904" s="4">
        <f>IFERROR(FIND(",",E904),0)</f>
        <v>0</v>
      </c>
      <c r="N904" s="4">
        <f>LEN(E904)</f>
        <v>25</v>
      </c>
    </row>
    <row r="905" spans="1:14" outlineLevel="2" x14ac:dyDescent="0.3">
      <c r="A905" t="s">
        <v>5250</v>
      </c>
      <c r="B905" t="s">
        <v>578</v>
      </c>
      <c r="C905" s="1">
        <v>31062</v>
      </c>
      <c r="D905" t="s">
        <v>1960</v>
      </c>
      <c r="E905" t="s">
        <v>2086</v>
      </c>
      <c r="F905" t="str">
        <f>IF(separador &gt; 0, LEFT(E905,separador - 1), E905)</f>
        <v>W73 9BU</v>
      </c>
      <c r="G905" t="str">
        <f>IF(separador &gt; 0, RIGHT(E905,largo -separador - 1),"-")</f>
        <v>-</v>
      </c>
      <c r="H905" t="s">
        <v>4246</v>
      </c>
      <c r="I905" t="s">
        <v>3256</v>
      </c>
      <c r="J905" s="2">
        <v>43428.074988425928</v>
      </c>
      <c r="K905" t="s">
        <v>3672</v>
      </c>
      <c r="M905">
        <f>IFERROR(FIND(",",E905),0)</f>
        <v>0</v>
      </c>
      <c r="N905">
        <f>LEN(E905)</f>
        <v>7</v>
      </c>
    </row>
    <row r="906" spans="1:14" outlineLevel="2" x14ac:dyDescent="0.3">
      <c r="A906" s="4" t="s">
        <v>5621</v>
      </c>
      <c r="B906" s="4" t="s">
        <v>949</v>
      </c>
      <c r="C906" s="12">
        <v>31055</v>
      </c>
      <c r="D906" s="4" t="s">
        <v>2636</v>
      </c>
      <c r="E906" s="4" t="s">
        <v>2518</v>
      </c>
      <c r="F906" s="4" t="str">
        <f>IF(separador &gt; 0, LEFT(E906,separador - 1), E906)</f>
        <v>Staten Island</v>
      </c>
      <c r="G906" s="4" t="str">
        <f>IF(separador &gt; 0, RIGHT(E906,largo -separador - 1),"-")</f>
        <v>NY 10314</v>
      </c>
      <c r="H906" s="4" t="s">
        <v>4617</v>
      </c>
      <c r="I906" s="4" t="s">
        <v>3618</v>
      </c>
      <c r="J906" s="13">
        <v>41926.29078703704</v>
      </c>
      <c r="K906" s="4" t="s">
        <v>3672</v>
      </c>
      <c r="M906" s="4">
        <f>IFERROR(FIND(",",E906),0)</f>
        <v>14</v>
      </c>
      <c r="N906" s="4">
        <f>LEN(E906)</f>
        <v>23</v>
      </c>
    </row>
    <row r="907" spans="1:14" outlineLevel="2" x14ac:dyDescent="0.3">
      <c r="A907" t="s">
        <v>5363</v>
      </c>
      <c r="B907" t="s">
        <v>691</v>
      </c>
      <c r="C907" s="1">
        <v>31039</v>
      </c>
      <c r="D907" t="s">
        <v>2236</v>
      </c>
      <c r="E907" t="s">
        <v>2237</v>
      </c>
      <c r="F907" t="str">
        <f>IF(separador &gt; 0, LEFT(E907,separador - 1), E907)</f>
        <v>919 Queensway</v>
      </c>
      <c r="G907" t="str">
        <f>IF(separador &gt; 0, RIGHT(E907,largo -separador - 1),"-")</f>
        <v>-</v>
      </c>
      <c r="H907" t="s">
        <v>4359</v>
      </c>
      <c r="I907" t="s">
        <v>3367</v>
      </c>
      <c r="J907" s="2">
        <v>42404.738368055558</v>
      </c>
      <c r="K907" t="s">
        <v>3672</v>
      </c>
      <c r="M907">
        <f>IFERROR(FIND(",",E907),0)</f>
        <v>0</v>
      </c>
      <c r="N907">
        <f>LEN(E907)</f>
        <v>13</v>
      </c>
    </row>
    <row r="908" spans="1:14" outlineLevel="2" x14ac:dyDescent="0.3">
      <c r="A908" s="4" t="s">
        <v>4850</v>
      </c>
      <c r="B908" s="4" t="s">
        <v>178</v>
      </c>
      <c r="C908" s="12">
        <v>30836</v>
      </c>
      <c r="D908" s="4" t="s">
        <v>1350</v>
      </c>
      <c r="E908" s="4" t="s">
        <v>1351</v>
      </c>
      <c r="F908" s="4" t="str">
        <f>IF(separador &gt; 0, LEFT(E908,separador - 1), E908)</f>
        <v>National City</v>
      </c>
      <c r="G908" s="4" t="str">
        <f>IF(separador &gt; 0, RIGHT(E908,largo -separador - 1),"-")</f>
        <v>CA 91950</v>
      </c>
      <c r="H908" s="4" t="s">
        <v>3846</v>
      </c>
      <c r="I908" s="4" t="s">
        <v>2862</v>
      </c>
      <c r="J908" s="13">
        <v>43783.998252314814</v>
      </c>
      <c r="K908" s="4" t="s">
        <v>3672</v>
      </c>
      <c r="M908" s="4">
        <f>IFERROR(FIND(",",E908),0)</f>
        <v>14</v>
      </c>
      <c r="N908" s="4">
        <f>LEN(E908)</f>
        <v>23</v>
      </c>
    </row>
    <row r="909" spans="1:14" outlineLevel="2" x14ac:dyDescent="0.3">
      <c r="A909" t="s">
        <v>5297</v>
      </c>
      <c r="B909" t="s">
        <v>625</v>
      </c>
      <c r="C909" s="1">
        <v>30777</v>
      </c>
      <c r="D909" t="s">
        <v>2148</v>
      </c>
      <c r="E909" t="s">
        <v>2149</v>
      </c>
      <c r="F909" t="str">
        <f>IF(separador &gt; 0, LEFT(E909,separador - 1), E909)</f>
        <v>5 King Street</v>
      </c>
      <c r="G909" t="str">
        <f>IF(separador &gt; 0, RIGHT(E909,largo -separador - 1),"-")</f>
        <v>-</v>
      </c>
      <c r="H909" t="s">
        <v>4293</v>
      </c>
      <c r="I909" t="s">
        <v>3302</v>
      </c>
      <c r="J909" s="2">
        <v>39272.199814814812</v>
      </c>
      <c r="K909" t="s">
        <v>3672</v>
      </c>
      <c r="M909">
        <f>IFERROR(FIND(",",E909),0)</f>
        <v>0</v>
      </c>
      <c r="N909">
        <f>LEN(E909)</f>
        <v>13</v>
      </c>
    </row>
    <row r="910" spans="1:14" outlineLevel="2" x14ac:dyDescent="0.3">
      <c r="A910" s="4" t="s">
        <v>4874</v>
      </c>
      <c r="B910" s="4" t="s">
        <v>202</v>
      </c>
      <c r="C910" s="12">
        <v>30728</v>
      </c>
      <c r="D910" s="4" t="s">
        <v>1398</v>
      </c>
      <c r="E910" s="4" t="s">
        <v>1399</v>
      </c>
      <c r="F910" s="4" t="str">
        <f>IF(separador &gt; 0, LEFT(E910,separador - 1), E910)</f>
        <v>82 Bear Hill Ave.</v>
      </c>
      <c r="G910" s="4" t="str">
        <f>IF(separador &gt; 0, RIGHT(E910,largo -separador - 1),"-")</f>
        <v>-</v>
      </c>
      <c r="H910" s="4" t="s">
        <v>3870</v>
      </c>
      <c r="I910" s="4" t="s">
        <v>2886</v>
      </c>
      <c r="J910" s="13">
        <v>42433.511689814812</v>
      </c>
      <c r="K910" s="4" t="s">
        <v>3672</v>
      </c>
      <c r="M910" s="4">
        <f>IFERROR(FIND(",",E910),0)</f>
        <v>0</v>
      </c>
      <c r="N910" s="4">
        <f>LEN(E910)</f>
        <v>17</v>
      </c>
    </row>
    <row r="911" spans="1:14" outlineLevel="2" x14ac:dyDescent="0.3">
      <c r="A911" t="s">
        <v>5459</v>
      </c>
      <c r="B911" t="s">
        <v>787</v>
      </c>
      <c r="C911" s="1">
        <v>30703</v>
      </c>
      <c r="D911" t="s">
        <v>2377</v>
      </c>
      <c r="E911" t="s">
        <v>2378</v>
      </c>
      <c r="F911" t="str">
        <f>IF(separador &gt; 0, LEFT(E911,separador - 1), E911)</f>
        <v>Staten Island</v>
      </c>
      <c r="G911" t="str">
        <f>IF(separador &gt; 0, RIGHT(E911,largo -separador - 1),"-")</f>
        <v>NY 10312</v>
      </c>
      <c r="H911" t="s">
        <v>4455</v>
      </c>
      <c r="I911" t="s">
        <v>3458</v>
      </c>
      <c r="J911" s="2">
        <v>40769.972812499997</v>
      </c>
      <c r="K911" t="s">
        <v>3672</v>
      </c>
      <c r="M911">
        <f>IFERROR(FIND(",",E911),0)</f>
        <v>14</v>
      </c>
      <c r="N911">
        <f>LEN(E911)</f>
        <v>23</v>
      </c>
    </row>
    <row r="912" spans="1:14" outlineLevel="2" x14ac:dyDescent="0.3">
      <c r="A912" s="4" t="s">
        <v>5460</v>
      </c>
      <c r="B912" s="4" t="s">
        <v>788</v>
      </c>
      <c r="C912" s="12">
        <v>30673</v>
      </c>
      <c r="D912" s="4" t="s">
        <v>2379</v>
      </c>
      <c r="E912" s="4" t="s">
        <v>2380</v>
      </c>
      <c r="F912" s="4" t="str">
        <f>IF(separador &gt; 0, LEFT(E912,separador - 1), E912)</f>
        <v>Astoria</v>
      </c>
      <c r="G912" s="4" t="str">
        <f>IF(separador &gt; 0, RIGHT(E912,largo -separador - 1),"-")</f>
        <v>NY 11106</v>
      </c>
      <c r="H912" s="4" t="s">
        <v>4456</v>
      </c>
      <c r="I912" s="4" t="s">
        <v>3459</v>
      </c>
      <c r="J912" s="13">
        <v>40267.126203703701</v>
      </c>
      <c r="K912" s="4" t="s">
        <v>3672</v>
      </c>
      <c r="M912" s="4">
        <f>IFERROR(FIND(",",E912),0)</f>
        <v>8</v>
      </c>
      <c r="N912" s="4">
        <f>LEN(E912)</f>
        <v>17</v>
      </c>
    </row>
    <row r="913" spans="1:14" outlineLevel="2" x14ac:dyDescent="0.3">
      <c r="A913" t="s">
        <v>5530</v>
      </c>
      <c r="B913" t="s">
        <v>858</v>
      </c>
      <c r="C913" s="1">
        <v>30587</v>
      </c>
      <c r="D913" t="s">
        <v>2517</v>
      </c>
      <c r="E913" t="s">
        <v>2518</v>
      </c>
      <c r="F913" t="str">
        <f>IF(separador &gt; 0, LEFT(E913,separador - 1), E913)</f>
        <v>Staten Island</v>
      </c>
      <c r="G913" t="str">
        <f>IF(separador &gt; 0, RIGHT(E913,largo -separador - 1),"-")</f>
        <v>NY 10314</v>
      </c>
      <c r="H913" t="s">
        <v>4526</v>
      </c>
      <c r="I913" t="s">
        <v>3528</v>
      </c>
      <c r="J913" s="2">
        <v>44326.50199074074</v>
      </c>
      <c r="K913" t="s">
        <v>3672</v>
      </c>
      <c r="M913">
        <f>IFERROR(FIND(",",E913),0)</f>
        <v>14</v>
      </c>
      <c r="N913">
        <f>LEN(E913)</f>
        <v>23</v>
      </c>
    </row>
    <row r="914" spans="1:14" outlineLevel="2" x14ac:dyDescent="0.3">
      <c r="A914" s="4" t="s">
        <v>4793</v>
      </c>
      <c r="B914" s="4" t="s">
        <v>121</v>
      </c>
      <c r="C914" s="12">
        <v>30547</v>
      </c>
      <c r="D914" s="4" t="s">
        <v>1236</v>
      </c>
      <c r="E914" s="4" t="s">
        <v>1237</v>
      </c>
      <c r="F914" s="4" t="str">
        <f>IF(separador &gt; 0, LEFT(E914,separador - 1), E914)</f>
        <v>Lancaster</v>
      </c>
      <c r="G914" s="4" t="str">
        <f>IF(separador &gt; 0, RIGHT(E914,largo -separador - 1),"-")</f>
        <v>CA 93535</v>
      </c>
      <c r="H914" s="4" t="s">
        <v>3789</v>
      </c>
      <c r="I914" s="4" t="s">
        <v>2807</v>
      </c>
      <c r="J914" s="13">
        <v>43932.415821759256</v>
      </c>
      <c r="K914" s="4" t="s">
        <v>3672</v>
      </c>
      <c r="M914" s="4">
        <f>IFERROR(FIND(",",E914),0)</f>
        <v>10</v>
      </c>
      <c r="N914" s="4">
        <f>LEN(E914)</f>
        <v>19</v>
      </c>
    </row>
    <row r="915" spans="1:14" outlineLevel="2" x14ac:dyDescent="0.3">
      <c r="A915" t="s">
        <v>5367</v>
      </c>
      <c r="B915" t="s">
        <v>695</v>
      </c>
      <c r="C915" s="1">
        <v>30465</v>
      </c>
      <c r="D915" t="s">
        <v>1960</v>
      </c>
      <c r="E915" t="s">
        <v>2242</v>
      </c>
      <c r="F915" t="str">
        <f>IF(separador &gt; 0, LEFT(E915,separador - 1), E915)</f>
        <v>WC40 6RS</v>
      </c>
      <c r="G915" t="str">
        <f>IF(separador &gt; 0, RIGHT(E915,largo -separador - 1),"-")</f>
        <v>-</v>
      </c>
      <c r="H915" t="s">
        <v>4363</v>
      </c>
      <c r="I915" t="s">
        <v>3371</v>
      </c>
      <c r="J915" s="2">
        <v>40657.717766203707</v>
      </c>
      <c r="K915" t="s">
        <v>3672</v>
      </c>
      <c r="M915">
        <f>IFERROR(FIND(",",E915),0)</f>
        <v>0</v>
      </c>
      <c r="N915">
        <f>LEN(E915)</f>
        <v>8</v>
      </c>
    </row>
    <row r="916" spans="1:14" outlineLevel="2" x14ac:dyDescent="0.3">
      <c r="A916" s="4" t="s">
        <v>5343</v>
      </c>
      <c r="B916" s="4" t="s">
        <v>671</v>
      </c>
      <c r="C916" s="12">
        <v>30465</v>
      </c>
      <c r="D916" s="4" t="s">
        <v>1960</v>
      </c>
      <c r="E916" s="4" t="s">
        <v>2210</v>
      </c>
      <c r="F916" s="4" t="str">
        <f>IF(separador &gt; 0, LEFT(E916,separador - 1), E916)</f>
        <v>NW36 9XU</v>
      </c>
      <c r="G916" s="4" t="str">
        <f>IF(separador &gt; 0, RIGHT(E916,largo -separador - 1),"-")</f>
        <v>-</v>
      </c>
      <c r="H916" s="4" t="s">
        <v>4339</v>
      </c>
      <c r="I916" s="4" t="s">
        <v>3347</v>
      </c>
      <c r="J916" s="13">
        <v>42797.515879629631</v>
      </c>
      <c r="K916" s="4" t="s">
        <v>3672</v>
      </c>
      <c r="M916" s="4">
        <f>IFERROR(FIND(",",E916),0)</f>
        <v>0</v>
      </c>
      <c r="N916" s="4">
        <f>LEN(E916)</f>
        <v>8</v>
      </c>
    </row>
    <row r="917" spans="1:14" outlineLevel="2" x14ac:dyDescent="0.3">
      <c r="A917" t="s">
        <v>5069</v>
      </c>
      <c r="B917" t="s">
        <v>397</v>
      </c>
      <c r="C917" s="1">
        <v>30383</v>
      </c>
      <c r="D917" t="s">
        <v>1788</v>
      </c>
      <c r="E917" t="s">
        <v>1789</v>
      </c>
      <c r="F917" t="str">
        <f>IF(separador &gt; 0, LEFT(E917,separador - 1), E917)</f>
        <v>93 Magnolia Ave.</v>
      </c>
      <c r="G917" t="str">
        <f>IF(separador &gt; 0, RIGHT(E917,largo -separador - 1),"-")</f>
        <v>-</v>
      </c>
      <c r="H917" t="s">
        <v>4065</v>
      </c>
      <c r="I917" t="s">
        <v>3079</v>
      </c>
      <c r="J917" s="2">
        <v>40686.605555555558</v>
      </c>
      <c r="K917" t="s">
        <v>3672</v>
      </c>
      <c r="M917">
        <f>IFERROR(FIND(",",E917),0)</f>
        <v>0</v>
      </c>
      <c r="N917">
        <f>LEN(E917)</f>
        <v>16</v>
      </c>
    </row>
    <row r="918" spans="1:14" outlineLevel="2" x14ac:dyDescent="0.3">
      <c r="A918" s="4" t="s">
        <v>5211</v>
      </c>
      <c r="B918" s="4" t="s">
        <v>539</v>
      </c>
      <c r="C918" s="12">
        <v>30361</v>
      </c>
      <c r="D918" s="4" t="s">
        <v>1960</v>
      </c>
      <c r="E918" s="4" t="s">
        <v>2035</v>
      </c>
      <c r="F918" s="4" t="str">
        <f>IF(separador &gt; 0, LEFT(E918,separador - 1), E918)</f>
        <v>N85 0RM</v>
      </c>
      <c r="G918" s="4" t="str">
        <f>IF(separador &gt; 0, RIGHT(E918,largo -separador - 1),"-")</f>
        <v>-</v>
      </c>
      <c r="H918" s="4" t="s">
        <v>4207</v>
      </c>
      <c r="I918" s="4" t="s">
        <v>3219</v>
      </c>
      <c r="J918" s="13">
        <v>43997.151678240742</v>
      </c>
      <c r="K918" s="4" t="s">
        <v>3672</v>
      </c>
      <c r="M918" s="4">
        <f>IFERROR(FIND(",",E918),0)</f>
        <v>0</v>
      </c>
      <c r="N918" s="4">
        <f>LEN(E918)</f>
        <v>7</v>
      </c>
    </row>
    <row r="919" spans="1:14" outlineLevel="2" x14ac:dyDescent="0.3">
      <c r="A919" t="s">
        <v>5623</v>
      </c>
      <c r="B919" t="s">
        <v>951</v>
      </c>
      <c r="C919" s="1">
        <v>30345</v>
      </c>
      <c r="D919" t="s">
        <v>2638</v>
      </c>
      <c r="E919" t="s">
        <v>2405</v>
      </c>
      <c r="F919" t="str">
        <f>IF(separador &gt; 0, LEFT(E919,separador - 1), E919)</f>
        <v>Bronx</v>
      </c>
      <c r="G919" t="str">
        <f>IF(separador &gt; 0, RIGHT(E919,largo -separador - 1),"-")</f>
        <v>NY 10473</v>
      </c>
      <c r="H919" t="s">
        <v>4619</v>
      </c>
      <c r="I919" t="s">
        <v>3620</v>
      </c>
      <c r="J919" s="2">
        <v>41063.276087962964</v>
      </c>
      <c r="K919" t="s">
        <v>3672</v>
      </c>
      <c r="M919">
        <f>IFERROR(FIND(",",E919),0)</f>
        <v>6</v>
      </c>
      <c r="N919">
        <f>LEN(E919)</f>
        <v>15</v>
      </c>
    </row>
    <row r="920" spans="1:14" outlineLevel="2" x14ac:dyDescent="0.3">
      <c r="A920" s="4" t="s">
        <v>4906</v>
      </c>
      <c r="B920" s="4" t="s">
        <v>234</v>
      </c>
      <c r="C920" s="12">
        <v>30261</v>
      </c>
      <c r="D920" s="4" t="s">
        <v>1462</v>
      </c>
      <c r="E920" s="4" t="s">
        <v>1463</v>
      </c>
      <c r="F920" s="4" t="str">
        <f>IF(separador &gt; 0, LEFT(E920,separador - 1), E920)</f>
        <v>83 Beaver Ridge Ave.</v>
      </c>
      <c r="G920" s="4" t="str">
        <f>IF(separador &gt; 0, RIGHT(E920,largo -separador - 1),"-")</f>
        <v>-</v>
      </c>
      <c r="H920" s="4" t="s">
        <v>3902</v>
      </c>
      <c r="I920" s="4" t="s">
        <v>2917</v>
      </c>
      <c r="J920" s="13">
        <v>42871.936921296299</v>
      </c>
      <c r="K920" s="4" t="s">
        <v>3672</v>
      </c>
      <c r="M920" s="4">
        <f>IFERROR(FIND(",",E920),0)</f>
        <v>0</v>
      </c>
      <c r="N920" s="4">
        <f>LEN(E920)</f>
        <v>20</v>
      </c>
    </row>
    <row r="921" spans="1:14" outlineLevel="2" x14ac:dyDescent="0.3">
      <c r="A921" t="s">
        <v>5234</v>
      </c>
      <c r="B921" t="s">
        <v>562</v>
      </c>
      <c r="C921" s="1">
        <v>30246</v>
      </c>
      <c r="D921" t="s">
        <v>2064</v>
      </c>
      <c r="E921" t="s">
        <v>2065</v>
      </c>
      <c r="F921" t="str">
        <f>IF(separador &gt; 0, LEFT(E921,separador - 1), E921)</f>
        <v>6 Main Road</v>
      </c>
      <c r="G921" t="str">
        <f>IF(separador &gt; 0, RIGHT(E921,largo -separador - 1),"-")</f>
        <v>-</v>
      </c>
      <c r="H921" t="s">
        <v>4230</v>
      </c>
      <c r="I921" t="s">
        <v>3242</v>
      </c>
      <c r="J921" s="2">
        <v>43222.728900462964</v>
      </c>
      <c r="K921" t="s">
        <v>3672</v>
      </c>
      <c r="M921">
        <f>IFERROR(FIND(",",E921),0)</f>
        <v>0</v>
      </c>
      <c r="N921">
        <f>LEN(E921)</f>
        <v>11</v>
      </c>
    </row>
    <row r="922" spans="1:14" outlineLevel="2" x14ac:dyDescent="0.3">
      <c r="A922" s="4" t="s">
        <v>4777</v>
      </c>
      <c r="B922" s="4" t="s">
        <v>105</v>
      </c>
      <c r="C922" s="12">
        <v>30189</v>
      </c>
      <c r="D922" s="4" t="s">
        <v>1204</v>
      </c>
      <c r="E922" s="4" t="s">
        <v>1205</v>
      </c>
      <c r="F922" s="4" t="str">
        <f>IF(separador &gt; 0, LEFT(E922,separador - 1), E922)</f>
        <v>HULL</v>
      </c>
      <c r="G922" s="4" t="str">
        <f>IF(separador &gt; 0, RIGHT(E922,largo -separador - 1),"-")</f>
        <v>-</v>
      </c>
      <c r="H922" s="4" t="s">
        <v>3773</v>
      </c>
      <c r="I922" s="4" t="s">
        <v>2791</v>
      </c>
      <c r="J922" s="13">
        <v>42178.660520833335</v>
      </c>
      <c r="K922" s="4" t="s">
        <v>3672</v>
      </c>
      <c r="M922" s="4">
        <f>IFERROR(FIND(",",E922),0)</f>
        <v>0</v>
      </c>
      <c r="N922" s="4">
        <f>LEN(E922)</f>
        <v>4</v>
      </c>
    </row>
    <row r="923" spans="1:14" outlineLevel="2" x14ac:dyDescent="0.3">
      <c r="A923" t="s">
        <v>5029</v>
      </c>
      <c r="B923" t="s">
        <v>357</v>
      </c>
      <c r="C923" s="1">
        <v>30148</v>
      </c>
      <c r="D923" t="s">
        <v>1708</v>
      </c>
      <c r="E923" t="s">
        <v>1709</v>
      </c>
      <c r="F923" t="str">
        <f>IF(separador &gt; 0, LEFT(E923,separador - 1), E923)</f>
        <v>32 Adams Court</v>
      </c>
      <c r="G923" t="str">
        <f>IF(separador &gt; 0, RIGHT(E923,largo -separador - 1),"-")</f>
        <v>-</v>
      </c>
      <c r="H923" t="s">
        <v>4025</v>
      </c>
      <c r="I923" t="s">
        <v>3039</v>
      </c>
      <c r="J923" s="2">
        <v>42202.526562500003</v>
      </c>
      <c r="K923" t="s">
        <v>3672</v>
      </c>
      <c r="M923">
        <f>IFERROR(FIND(",",E923),0)</f>
        <v>0</v>
      </c>
      <c r="N923">
        <f>LEN(E923)</f>
        <v>14</v>
      </c>
    </row>
    <row r="924" spans="1:14" outlineLevel="2" x14ac:dyDescent="0.3">
      <c r="A924" s="4" t="s">
        <v>4915</v>
      </c>
      <c r="B924" s="4" t="s">
        <v>243</v>
      </c>
      <c r="C924" s="12">
        <v>30088</v>
      </c>
      <c r="D924" s="4" t="s">
        <v>1480</v>
      </c>
      <c r="E924" s="4" t="s">
        <v>1481</v>
      </c>
      <c r="F924" s="4" t="str">
        <f>IF(separador &gt; 0, LEFT(E924,separador - 1), E924)</f>
        <v>7582 Lyme Ave.</v>
      </c>
      <c r="G924" s="4" t="str">
        <f>IF(separador &gt; 0, RIGHT(E924,largo -separador - 1),"-")</f>
        <v>-</v>
      </c>
      <c r="H924" s="4" t="s">
        <v>3911</v>
      </c>
      <c r="I924" s="4" t="s">
        <v>2926</v>
      </c>
      <c r="J924" s="13">
        <v>40473.439293981479</v>
      </c>
      <c r="K924" s="4" t="s">
        <v>3672</v>
      </c>
      <c r="M924" s="4">
        <f>IFERROR(FIND(",",E924),0)</f>
        <v>0</v>
      </c>
      <c r="N924" s="4">
        <f>LEN(E924)</f>
        <v>14</v>
      </c>
    </row>
    <row r="925" spans="1:14" outlineLevel="2" x14ac:dyDescent="0.3">
      <c r="A925" t="s">
        <v>5124</v>
      </c>
      <c r="B925" t="s">
        <v>452</v>
      </c>
      <c r="C925" s="1">
        <v>30040</v>
      </c>
      <c r="D925" t="s">
        <v>1897</v>
      </c>
      <c r="E925" t="s">
        <v>1898</v>
      </c>
      <c r="F925" t="str">
        <f>IF(separador &gt; 0, LEFT(E925,separador - 1), E925)</f>
        <v>8646 Homewood Street</v>
      </c>
      <c r="G925" t="str">
        <f>IF(separador &gt; 0, RIGHT(E925,largo -separador - 1),"-")</f>
        <v>-</v>
      </c>
      <c r="H925" t="s">
        <v>4120</v>
      </c>
      <c r="I925" t="s">
        <v>3133</v>
      </c>
      <c r="J925" s="2">
        <v>42309.375231481485</v>
      </c>
      <c r="K925" t="s">
        <v>3672</v>
      </c>
      <c r="M925">
        <f>IFERROR(FIND(",",E925),0)</f>
        <v>0</v>
      </c>
      <c r="N925">
        <f>LEN(E925)</f>
        <v>20</v>
      </c>
    </row>
    <row r="926" spans="1:14" outlineLevel="2" x14ac:dyDescent="0.3">
      <c r="A926" s="4" t="s">
        <v>5245</v>
      </c>
      <c r="B926" s="4" t="s">
        <v>573</v>
      </c>
      <c r="C926" s="12">
        <v>30006</v>
      </c>
      <c r="D926" s="4" t="s">
        <v>2079</v>
      </c>
      <c r="E926" s="4" t="s">
        <v>1960</v>
      </c>
      <c r="F926" s="4" t="str">
        <f>IF(separador &gt; 0, LEFT(E926,separador - 1), E926)</f>
        <v>London</v>
      </c>
      <c r="G926" s="4" t="str">
        <f>IF(separador &gt; 0, RIGHT(E926,largo -separador - 1),"-")</f>
        <v>-</v>
      </c>
      <c r="H926" s="4" t="s">
        <v>4241</v>
      </c>
      <c r="I926" s="4" t="s">
        <v>3253</v>
      </c>
      <c r="J926" s="13">
        <v>40924.777291666665</v>
      </c>
      <c r="K926" s="4" t="s">
        <v>3672</v>
      </c>
      <c r="M926" s="4">
        <f>IFERROR(FIND(",",E926),0)</f>
        <v>0</v>
      </c>
      <c r="N926" s="4">
        <f>LEN(E926)</f>
        <v>6</v>
      </c>
    </row>
    <row r="927" spans="1:14" outlineLevel="2" x14ac:dyDescent="0.3">
      <c r="A927" t="s">
        <v>5128</v>
      </c>
      <c r="B927" t="s">
        <v>456</v>
      </c>
      <c r="C927" s="1">
        <v>29961</v>
      </c>
      <c r="D927" t="s">
        <v>1905</v>
      </c>
      <c r="E927" t="s">
        <v>1906</v>
      </c>
      <c r="F927" t="str">
        <f>IF(separador &gt; 0, LEFT(E927,separador - 1), E927)</f>
        <v>Pompano Beach</v>
      </c>
      <c r="G927" t="str">
        <f>IF(separador &gt; 0, RIGHT(E927,largo -separador - 1),"-")</f>
        <v>FL 33060</v>
      </c>
      <c r="H927" t="s">
        <v>4124</v>
      </c>
      <c r="I927" t="s">
        <v>3137</v>
      </c>
      <c r="J927" s="2">
        <v>40960.755381944444</v>
      </c>
      <c r="K927" t="s">
        <v>3672</v>
      </c>
      <c r="M927">
        <f>IFERROR(FIND(",",E927),0)</f>
        <v>14</v>
      </c>
      <c r="N927">
        <f>LEN(E927)</f>
        <v>23</v>
      </c>
    </row>
    <row r="928" spans="1:14" outlineLevel="2" x14ac:dyDescent="0.3">
      <c r="A928" s="4" t="s">
        <v>5565</v>
      </c>
      <c r="B928" s="4" t="s">
        <v>893</v>
      </c>
      <c r="C928" s="12">
        <v>29956</v>
      </c>
      <c r="D928" s="4" t="s">
        <v>2580</v>
      </c>
      <c r="E928" s="4" t="s">
        <v>2494</v>
      </c>
      <c r="F928" s="4" t="str">
        <f>IF(separador &gt; 0, LEFT(E928,separador - 1), E928)</f>
        <v>Brooklyn</v>
      </c>
      <c r="G928" s="4" t="str">
        <f>IF(separador &gt; 0, RIGHT(E928,largo -separador - 1),"-")</f>
        <v>NY 11221</v>
      </c>
      <c r="H928" s="4" t="s">
        <v>4561</v>
      </c>
      <c r="I928" s="4" t="s">
        <v>3563</v>
      </c>
      <c r="J928" s="13">
        <v>41781.191064814811</v>
      </c>
      <c r="K928" s="4" t="s">
        <v>3672</v>
      </c>
      <c r="M928" s="4">
        <f>IFERROR(FIND(",",E928),0)</f>
        <v>9</v>
      </c>
      <c r="N928" s="4">
        <f>LEN(E928)</f>
        <v>18</v>
      </c>
    </row>
    <row r="929" spans="1:14" outlineLevel="2" x14ac:dyDescent="0.3">
      <c r="A929" t="s">
        <v>4962</v>
      </c>
      <c r="B929" t="s">
        <v>290</v>
      </c>
      <c r="C929" s="1">
        <v>29814</v>
      </c>
      <c r="D929" t="s">
        <v>1574</v>
      </c>
      <c r="E929" t="s">
        <v>1575</v>
      </c>
      <c r="F929" t="str">
        <f>IF(separador &gt; 0, LEFT(E929,separador - 1), E929)</f>
        <v>28 Pennsylvania Street</v>
      </c>
      <c r="G929" t="str">
        <f>IF(separador &gt; 0, RIGHT(E929,largo -separador - 1),"-")</f>
        <v>-</v>
      </c>
      <c r="H929" t="s">
        <v>3958</v>
      </c>
      <c r="I929" t="s">
        <v>2973</v>
      </c>
      <c r="J929" s="2">
        <v>41323.281527777777</v>
      </c>
      <c r="K929" t="s">
        <v>3672</v>
      </c>
      <c r="M929">
        <f>IFERROR(FIND(",",E929),0)</f>
        <v>0</v>
      </c>
      <c r="N929">
        <f>LEN(E929)</f>
        <v>22</v>
      </c>
    </row>
    <row r="930" spans="1:14" outlineLevel="2" x14ac:dyDescent="0.3">
      <c r="A930" s="4" t="s">
        <v>5549</v>
      </c>
      <c r="B930" s="4" t="s">
        <v>877</v>
      </c>
      <c r="C930" s="12">
        <v>29697</v>
      </c>
      <c r="D930" s="4" t="s">
        <v>2555</v>
      </c>
      <c r="E930" s="4" t="s">
        <v>2556</v>
      </c>
      <c r="F930" s="4" t="str">
        <f>IF(separador &gt; 0, LEFT(E930,separador - 1), E930)</f>
        <v>New York</v>
      </c>
      <c r="G930" s="4" t="str">
        <f>IF(separador &gt; 0, RIGHT(E930,largo -separador - 1),"-")</f>
        <v>NY 10003</v>
      </c>
      <c r="H930" s="4" t="s">
        <v>4545</v>
      </c>
      <c r="I930" s="4" t="s">
        <v>3547</v>
      </c>
      <c r="J930" s="13">
        <v>41672.752233796295</v>
      </c>
      <c r="K930" s="4" t="s">
        <v>3672</v>
      </c>
      <c r="M930" s="4">
        <f>IFERROR(FIND(",",E930),0)</f>
        <v>9</v>
      </c>
      <c r="N930" s="4">
        <f>LEN(E930)</f>
        <v>18</v>
      </c>
    </row>
    <row r="931" spans="1:14" outlineLevel="2" x14ac:dyDescent="0.3">
      <c r="A931" t="s">
        <v>4715</v>
      </c>
      <c r="B931" t="s">
        <v>43</v>
      </c>
      <c r="C931" s="1">
        <v>29692</v>
      </c>
      <c r="D931" t="s">
        <v>1080</v>
      </c>
      <c r="E931" t="s">
        <v>1081</v>
      </c>
      <c r="F931" t="str">
        <f>IF(separador &gt; 0, LEFT(E931,separador - 1), E931)</f>
        <v>Wheaton</v>
      </c>
      <c r="G931" t="str">
        <f>IF(separador &gt; 0, RIGHT(E931,largo -separador - 1),"-")</f>
        <v>IL 60187</v>
      </c>
      <c r="H931" t="s">
        <v>3711</v>
      </c>
      <c r="I931" t="s">
        <v>2729</v>
      </c>
      <c r="J931" s="2">
        <v>40677.36005787037</v>
      </c>
      <c r="K931" t="s">
        <v>3672</v>
      </c>
      <c r="M931">
        <f>IFERROR(FIND(",",E931),0)</f>
        <v>8</v>
      </c>
      <c r="N931">
        <f>LEN(E931)</f>
        <v>17</v>
      </c>
    </row>
    <row r="932" spans="1:14" outlineLevel="2" x14ac:dyDescent="0.3">
      <c r="A932" s="4" t="s">
        <v>5186</v>
      </c>
      <c r="B932" s="4" t="s">
        <v>514</v>
      </c>
      <c r="C932" s="12">
        <v>29664</v>
      </c>
      <c r="D932" s="4" t="s">
        <v>2001</v>
      </c>
      <c r="E932" s="4" t="s">
        <v>2002</v>
      </c>
      <c r="F932" s="4" t="str">
        <f>IF(separador &gt; 0, LEFT(E932,separador - 1), E932)</f>
        <v>68 School Lane</v>
      </c>
      <c r="G932" s="4" t="str">
        <f>IF(separador &gt; 0, RIGHT(E932,largo -separador - 1),"-")</f>
        <v>-</v>
      </c>
      <c r="H932" s="4" t="s">
        <v>4182</v>
      </c>
      <c r="I932" s="4" t="s">
        <v>3194</v>
      </c>
      <c r="J932" s="13">
        <v>39510.062118055554</v>
      </c>
      <c r="K932" s="4" t="s">
        <v>3672</v>
      </c>
      <c r="M932" s="4">
        <f>IFERROR(FIND(",",E932),0)</f>
        <v>0</v>
      </c>
      <c r="N932" s="4">
        <f>LEN(E932)</f>
        <v>14</v>
      </c>
    </row>
    <row r="933" spans="1:14" outlineLevel="2" x14ac:dyDescent="0.3">
      <c r="A933" t="s">
        <v>4713</v>
      </c>
      <c r="B933" t="s">
        <v>41</v>
      </c>
      <c r="C933" s="1">
        <v>29565</v>
      </c>
      <c r="D933" t="s">
        <v>1076</v>
      </c>
      <c r="E933" t="s">
        <v>1077</v>
      </c>
      <c r="F933" t="str">
        <f>IF(separador &gt; 0, LEFT(E933,separador - 1), E933)</f>
        <v>Hialeah</v>
      </c>
      <c r="G933" t="str">
        <f>IF(separador &gt; 0, RIGHT(E933,largo -separador - 1),"-")</f>
        <v>FL 33010</v>
      </c>
      <c r="H933" t="s">
        <v>3709</v>
      </c>
      <c r="I933" t="s">
        <v>2727</v>
      </c>
      <c r="J933" s="2">
        <v>44278.575787037036</v>
      </c>
      <c r="K933" t="s">
        <v>3672</v>
      </c>
      <c r="M933">
        <f>IFERROR(FIND(",",E933),0)</f>
        <v>8</v>
      </c>
      <c r="N933">
        <f>LEN(E933)</f>
        <v>17</v>
      </c>
    </row>
    <row r="934" spans="1:14" outlineLevel="2" x14ac:dyDescent="0.3">
      <c r="A934" s="4" t="s">
        <v>5196</v>
      </c>
      <c r="B934" s="4" t="s">
        <v>524</v>
      </c>
      <c r="C934" s="12">
        <v>29544</v>
      </c>
      <c r="D934" s="4" t="s">
        <v>1960</v>
      </c>
      <c r="E934" s="4" t="s">
        <v>2015</v>
      </c>
      <c r="F934" s="4" t="str">
        <f>IF(separador &gt; 0, LEFT(E934,separador - 1), E934)</f>
        <v>SW71 6OY</v>
      </c>
      <c r="G934" s="4" t="str">
        <f>IF(separador &gt; 0, RIGHT(E934,largo -separador - 1),"-")</f>
        <v>-</v>
      </c>
      <c r="H934" s="4" t="s">
        <v>4192</v>
      </c>
      <c r="I934" s="4" t="s">
        <v>3204</v>
      </c>
      <c r="J934" s="13">
        <v>40863.966597222221</v>
      </c>
      <c r="K934" s="4" t="s">
        <v>3672</v>
      </c>
      <c r="M934" s="4">
        <f>IFERROR(FIND(",",E934),0)</f>
        <v>0</v>
      </c>
      <c r="N934" s="4">
        <f>LEN(E934)</f>
        <v>8</v>
      </c>
    </row>
    <row r="935" spans="1:14" outlineLevel="2" x14ac:dyDescent="0.3">
      <c r="A935" t="s">
        <v>5502</v>
      </c>
      <c r="B935" t="s">
        <v>830</v>
      </c>
      <c r="C935" s="1">
        <v>29490</v>
      </c>
      <c r="D935" t="s">
        <v>2461</v>
      </c>
      <c r="E935" t="s">
        <v>2462</v>
      </c>
      <c r="F935" t="str">
        <f>IF(separador &gt; 0, LEFT(E935,separador - 1), E935)</f>
        <v>New York</v>
      </c>
      <c r="G935" t="str">
        <f>IF(separador &gt; 0, RIGHT(E935,largo -separador - 1),"-")</f>
        <v>NY 10033</v>
      </c>
      <c r="H935" t="s">
        <v>4498</v>
      </c>
      <c r="I935" t="s">
        <v>3501</v>
      </c>
      <c r="J935" s="2">
        <v>38421.332129629627</v>
      </c>
      <c r="K935" t="s">
        <v>3672</v>
      </c>
      <c r="M935">
        <f>IFERROR(FIND(",",E935),0)</f>
        <v>9</v>
      </c>
      <c r="N935">
        <f>LEN(E935)</f>
        <v>18</v>
      </c>
    </row>
    <row r="936" spans="1:14" outlineLevel="2" x14ac:dyDescent="0.3">
      <c r="A936" s="4" t="s">
        <v>5256</v>
      </c>
      <c r="B936" s="4" t="s">
        <v>584</v>
      </c>
      <c r="C936" s="12">
        <v>29482</v>
      </c>
      <c r="D936" s="4" t="s">
        <v>1960</v>
      </c>
      <c r="E936" s="4" t="s">
        <v>2094</v>
      </c>
      <c r="F936" s="4" t="str">
        <f>IF(separador &gt; 0, LEFT(E936,separador - 1), E936)</f>
        <v>E18 4JN</v>
      </c>
      <c r="G936" s="4" t="str">
        <f>IF(separador &gt; 0, RIGHT(E936,largo -separador - 1),"-")</f>
        <v>-</v>
      </c>
      <c r="H936" s="4" t="s">
        <v>4252</v>
      </c>
      <c r="I936" s="4" t="s">
        <v>3262</v>
      </c>
      <c r="J936" s="13">
        <v>41405.984375</v>
      </c>
      <c r="K936" s="4" t="s">
        <v>3672</v>
      </c>
      <c r="M936" s="4">
        <f>IFERROR(FIND(",",E936),0)</f>
        <v>0</v>
      </c>
      <c r="N936" s="4">
        <f>LEN(E936)</f>
        <v>7</v>
      </c>
    </row>
    <row r="937" spans="1:14" outlineLevel="2" x14ac:dyDescent="0.3">
      <c r="A937" t="s">
        <v>4974</v>
      </c>
      <c r="B937" t="s">
        <v>302</v>
      </c>
      <c r="C937" s="1">
        <v>29465</v>
      </c>
      <c r="D937" t="s">
        <v>1598</v>
      </c>
      <c r="E937" t="s">
        <v>1599</v>
      </c>
      <c r="F937" t="str">
        <f>IF(separador &gt; 0, LEFT(E937,separador - 1), E937)</f>
        <v>8824 Liberty Drive</v>
      </c>
      <c r="G937" t="str">
        <f>IF(separador &gt; 0, RIGHT(E937,largo -separador - 1),"-")</f>
        <v>-</v>
      </c>
      <c r="H937" t="s">
        <v>3970</v>
      </c>
      <c r="I937" t="s">
        <v>2984</v>
      </c>
      <c r="J937" s="2">
        <v>42952.635370370372</v>
      </c>
      <c r="K937" t="s">
        <v>3672</v>
      </c>
      <c r="M937">
        <f>IFERROR(FIND(",",E937),0)</f>
        <v>0</v>
      </c>
      <c r="N937">
        <f>LEN(E937)</f>
        <v>18</v>
      </c>
    </row>
    <row r="938" spans="1:14" outlineLevel="2" x14ac:dyDescent="0.3">
      <c r="A938" s="4" t="s">
        <v>5409</v>
      </c>
      <c r="B938" s="4" t="s">
        <v>737</v>
      </c>
      <c r="C938" s="12">
        <v>29436</v>
      </c>
      <c r="D938" s="4" t="s">
        <v>1960</v>
      </c>
      <c r="E938" s="4" t="s">
        <v>2297</v>
      </c>
      <c r="F938" s="4" t="str">
        <f>IF(separador &gt; 0, LEFT(E938,separador - 1), E938)</f>
        <v>NW49 1FQ</v>
      </c>
      <c r="G938" s="4" t="str">
        <f>IF(separador &gt; 0, RIGHT(E938,largo -separador - 1),"-")</f>
        <v>-</v>
      </c>
      <c r="H938" s="4" t="s">
        <v>4405</v>
      </c>
      <c r="I938" s="4" t="s">
        <v>3412</v>
      </c>
      <c r="J938" s="13">
        <v>42500.703252314815</v>
      </c>
      <c r="K938" s="4" t="s">
        <v>3672</v>
      </c>
      <c r="M938" s="4">
        <f>IFERROR(FIND(",",E938),0)</f>
        <v>0</v>
      </c>
      <c r="N938" s="4">
        <f>LEN(E938)</f>
        <v>8</v>
      </c>
    </row>
    <row r="939" spans="1:14" outlineLevel="2" x14ac:dyDescent="0.3">
      <c r="A939" t="s">
        <v>5054</v>
      </c>
      <c r="B939" t="s">
        <v>382</v>
      </c>
      <c r="C939" s="1">
        <v>29404</v>
      </c>
      <c r="D939" t="s">
        <v>1758</v>
      </c>
      <c r="E939" t="s">
        <v>1759</v>
      </c>
      <c r="F939" t="str">
        <f>IF(separador &gt; 0, LEFT(E939,separador - 1), E939)</f>
        <v>794 Philmont Ave.</v>
      </c>
      <c r="G939" t="str">
        <f>IF(separador &gt; 0, RIGHT(E939,largo -separador - 1),"-")</f>
        <v>-</v>
      </c>
      <c r="H939" t="s">
        <v>4050</v>
      </c>
      <c r="I939" t="s">
        <v>3064</v>
      </c>
      <c r="J939" s="2">
        <v>40375.483344907407</v>
      </c>
      <c r="K939" t="s">
        <v>3672</v>
      </c>
      <c r="M939">
        <f>IFERROR(FIND(",",E939),0)</f>
        <v>0</v>
      </c>
      <c r="N939">
        <f>LEN(E939)</f>
        <v>17</v>
      </c>
    </row>
    <row r="940" spans="1:14" outlineLevel="2" x14ac:dyDescent="0.3">
      <c r="A940" s="4" t="s">
        <v>4823</v>
      </c>
      <c r="B940" s="4" t="s">
        <v>151</v>
      </c>
      <c r="C940" s="12">
        <v>29348</v>
      </c>
      <c r="D940" s="4" t="s">
        <v>1296</v>
      </c>
      <c r="E940" s="4" t="s">
        <v>1297</v>
      </c>
      <c r="F940" s="4" t="str">
        <f>IF(separador &gt; 0, LEFT(E940,separador - 1), E940)</f>
        <v>Van Nuys</v>
      </c>
      <c r="G940" s="4" t="str">
        <f>IF(separador &gt; 0, RIGHT(E940,largo -separador - 1),"-")</f>
        <v>CA 91406</v>
      </c>
      <c r="H940" s="4" t="s">
        <v>3819</v>
      </c>
      <c r="I940" s="4" t="s">
        <v>2837</v>
      </c>
      <c r="J940" s="13">
        <v>43981.745844907404</v>
      </c>
      <c r="K940" s="4" t="s">
        <v>3672</v>
      </c>
      <c r="M940" s="4">
        <f>IFERROR(FIND(",",E940),0)</f>
        <v>9</v>
      </c>
      <c r="N940" s="4">
        <f>LEN(E940)</f>
        <v>18</v>
      </c>
    </row>
    <row r="941" spans="1:14" outlineLevel="2" x14ac:dyDescent="0.3">
      <c r="A941" t="s">
        <v>5103</v>
      </c>
      <c r="B941" t="s">
        <v>431</v>
      </c>
      <c r="C941" s="1">
        <v>29342</v>
      </c>
      <c r="D941" t="s">
        <v>1855</v>
      </c>
      <c r="E941" t="s">
        <v>1856</v>
      </c>
      <c r="F941" t="str">
        <f>IF(separador &gt; 0, LEFT(E941,separador - 1), E941)</f>
        <v>599 Glen Creek Drive</v>
      </c>
      <c r="G941" t="str">
        <f>IF(separador &gt; 0, RIGHT(E941,largo -separador - 1),"-")</f>
        <v>-</v>
      </c>
      <c r="H941" t="s">
        <v>4099</v>
      </c>
      <c r="I941" t="s">
        <v>3112</v>
      </c>
      <c r="J941" s="2">
        <v>43441.468784722223</v>
      </c>
      <c r="K941" t="s">
        <v>3672</v>
      </c>
      <c r="M941">
        <f>IFERROR(FIND(",",E941),0)</f>
        <v>0</v>
      </c>
      <c r="N941">
        <f>LEN(E941)</f>
        <v>20</v>
      </c>
    </row>
    <row r="942" spans="1:14" outlineLevel="2" x14ac:dyDescent="0.3">
      <c r="A942" s="4" t="s">
        <v>5324</v>
      </c>
      <c r="B942" s="4" t="s">
        <v>652</v>
      </c>
      <c r="C942" s="12">
        <v>29310</v>
      </c>
      <c r="D942" s="4" t="s">
        <v>2184</v>
      </c>
      <c r="E942" s="4" t="s">
        <v>2185</v>
      </c>
      <c r="F942" s="4" t="str">
        <f>IF(separador &gt; 0, LEFT(E942,separador - 1), E942)</f>
        <v>38 Richmond Road</v>
      </c>
      <c r="G942" s="4" t="str">
        <f>IF(separador &gt; 0, RIGHT(E942,largo -separador - 1),"-")</f>
        <v>-</v>
      </c>
      <c r="H942" s="4" t="s">
        <v>4320</v>
      </c>
      <c r="I942" s="4" t="s">
        <v>3329</v>
      </c>
      <c r="J942" s="13">
        <v>40562.144999999997</v>
      </c>
      <c r="K942" s="4" t="s">
        <v>3672</v>
      </c>
      <c r="M942" s="4">
        <f>IFERROR(FIND(",",E942),0)</f>
        <v>0</v>
      </c>
      <c r="N942" s="4">
        <f>LEN(E942)</f>
        <v>16</v>
      </c>
    </row>
    <row r="943" spans="1:14" outlineLevel="2" x14ac:dyDescent="0.3">
      <c r="A943" t="s">
        <v>5080</v>
      </c>
      <c r="B943" t="s">
        <v>408</v>
      </c>
      <c r="C943" s="1">
        <v>29277</v>
      </c>
      <c r="D943" t="s">
        <v>1810</v>
      </c>
      <c r="E943" t="s">
        <v>1811</v>
      </c>
      <c r="F943" t="str">
        <f>IF(separador &gt; 0, LEFT(E943,separador - 1), E943)</f>
        <v>345 South Trenton Dr.</v>
      </c>
      <c r="G943" t="str">
        <f>IF(separador &gt; 0, RIGHT(E943,largo -separador - 1),"-")</f>
        <v>-</v>
      </c>
      <c r="H943" t="s">
        <v>4076</v>
      </c>
      <c r="I943" t="s">
        <v>3090</v>
      </c>
      <c r="J943" s="2">
        <v>43783.617569444446</v>
      </c>
      <c r="K943" t="s">
        <v>3672</v>
      </c>
      <c r="M943">
        <f>IFERROR(FIND(",",E943),0)</f>
        <v>0</v>
      </c>
      <c r="N943">
        <f>LEN(E943)</f>
        <v>21</v>
      </c>
    </row>
    <row r="944" spans="1:14" outlineLevel="2" x14ac:dyDescent="0.3">
      <c r="A944" s="4" t="s">
        <v>5231</v>
      </c>
      <c r="B944" s="4" t="s">
        <v>559</v>
      </c>
      <c r="C944" s="12">
        <v>29234</v>
      </c>
      <c r="D944" s="4" t="s">
        <v>2060</v>
      </c>
      <c r="E944" s="4" t="s">
        <v>2061</v>
      </c>
      <c r="F944" s="4" t="str">
        <f>IF(separador &gt; 0, LEFT(E944,separador - 1), E944)</f>
        <v>16 Green Lane</v>
      </c>
      <c r="G944" s="4" t="str">
        <f>IF(separador &gt; 0, RIGHT(E944,largo -separador - 1),"-")</f>
        <v>-</v>
      </c>
      <c r="H944" s="4" t="s">
        <v>4227</v>
      </c>
      <c r="I944" s="4" t="s">
        <v>3239</v>
      </c>
      <c r="J944" s="13">
        <v>40134.95453703704</v>
      </c>
      <c r="K944" s="4" t="s">
        <v>3672</v>
      </c>
      <c r="M944" s="4">
        <f>IFERROR(FIND(",",E944),0)</f>
        <v>0</v>
      </c>
      <c r="N944" s="4">
        <f>LEN(E944)</f>
        <v>13</v>
      </c>
    </row>
    <row r="945" spans="1:14" outlineLevel="2" x14ac:dyDescent="0.3">
      <c r="A945" t="s">
        <v>4853</v>
      </c>
      <c r="B945" t="s">
        <v>181</v>
      </c>
      <c r="C945" s="1">
        <v>29223</v>
      </c>
      <c r="D945" t="s">
        <v>1356</v>
      </c>
      <c r="E945" t="s">
        <v>1357</v>
      </c>
      <c r="F945" t="str">
        <f>IF(separador &gt; 0, LEFT(E945,separador - 1), E945)</f>
        <v>Unit 2</v>
      </c>
      <c r="G945" t="str">
        <f>IF(separador &gt; 0, RIGHT(E945,largo -separador - 1),"-")</f>
        <v>-</v>
      </c>
      <c r="H945" t="s">
        <v>3849</v>
      </c>
      <c r="I945" t="s">
        <v>2865</v>
      </c>
      <c r="J945" s="2">
        <v>43008.955312500002</v>
      </c>
      <c r="K945" t="s">
        <v>3672</v>
      </c>
      <c r="M945">
        <f>IFERROR(FIND(",",E945),0)</f>
        <v>0</v>
      </c>
      <c r="N945">
        <f>LEN(E945)</f>
        <v>6</v>
      </c>
    </row>
    <row r="946" spans="1:14" outlineLevel="2" x14ac:dyDescent="0.3">
      <c r="A946" s="4" t="s">
        <v>4700</v>
      </c>
      <c r="B946" s="4" t="s">
        <v>28</v>
      </c>
      <c r="C946" s="12">
        <v>29038</v>
      </c>
      <c r="D946" s="4" t="s">
        <v>1050</v>
      </c>
      <c r="E946" s="4" t="s">
        <v>1051</v>
      </c>
      <c r="F946" s="4" t="str">
        <f>IF(separador &gt; 0, LEFT(E946,separador - 1), E946)</f>
        <v>Yuba City</v>
      </c>
      <c r="G946" s="4" t="str">
        <f>IF(separador &gt; 0, RIGHT(E946,largo -separador - 1),"-")</f>
        <v>CA 95993</v>
      </c>
      <c r="H946" s="4" t="s">
        <v>3696</v>
      </c>
      <c r="I946" s="4" t="s">
        <v>2714</v>
      </c>
      <c r="J946" s="13">
        <v>41731.770972222221</v>
      </c>
      <c r="K946" s="4" t="s">
        <v>3672</v>
      </c>
      <c r="M946" s="4">
        <f>IFERROR(FIND(",",E946),0)</f>
        <v>10</v>
      </c>
      <c r="N946" s="4">
        <f>LEN(E946)</f>
        <v>19</v>
      </c>
    </row>
    <row r="947" spans="1:14" outlineLevel="2" x14ac:dyDescent="0.3">
      <c r="A947" t="s">
        <v>5412</v>
      </c>
      <c r="B947" t="s">
        <v>740</v>
      </c>
      <c r="C947" s="1">
        <v>28951</v>
      </c>
      <c r="D947" t="s">
        <v>1960</v>
      </c>
      <c r="E947" t="s">
        <v>2301</v>
      </c>
      <c r="F947" t="str">
        <f>IF(separador &gt; 0, LEFT(E947,separador - 1), E947)</f>
        <v>EC54 6EY</v>
      </c>
      <c r="G947" t="str">
        <f>IF(separador &gt; 0, RIGHT(E947,largo -separador - 1),"-")</f>
        <v>-</v>
      </c>
      <c r="H947" t="s">
        <v>4408</v>
      </c>
      <c r="I947" t="s">
        <v>2713</v>
      </c>
      <c r="J947" s="2">
        <v>38559.19226851852</v>
      </c>
      <c r="K947" t="s">
        <v>3672</v>
      </c>
      <c r="M947">
        <f>IFERROR(FIND(",",E947),0)</f>
        <v>0</v>
      </c>
      <c r="N947">
        <f>LEN(E947)</f>
        <v>8</v>
      </c>
    </row>
    <row r="948" spans="1:14" outlineLevel="2" x14ac:dyDescent="0.3">
      <c r="A948" s="4" t="s">
        <v>4784</v>
      </c>
      <c r="B948" s="4" t="s">
        <v>112</v>
      </c>
      <c r="C948" s="12">
        <v>28945</v>
      </c>
      <c r="D948" s="4" t="s">
        <v>1218</v>
      </c>
      <c r="E948" s="4" t="s">
        <v>1219</v>
      </c>
      <c r="F948" s="4" t="str">
        <f>IF(separador &gt; 0, LEFT(E948,separador - 1), E948)</f>
        <v>45 Station Road</v>
      </c>
      <c r="G948" s="4" t="str">
        <f>IF(separador &gt; 0, RIGHT(E948,largo -separador - 1),"-")</f>
        <v>-</v>
      </c>
      <c r="H948" s="4" t="s">
        <v>3780</v>
      </c>
      <c r="I948" s="4" t="s">
        <v>2798</v>
      </c>
      <c r="J948" s="13">
        <v>40625.545520833337</v>
      </c>
      <c r="K948" s="4" t="s">
        <v>3672</v>
      </c>
      <c r="M948" s="4">
        <f>IFERROR(FIND(",",E948),0)</f>
        <v>0</v>
      </c>
      <c r="N948" s="4">
        <f>LEN(E948)</f>
        <v>15</v>
      </c>
    </row>
    <row r="949" spans="1:14" outlineLevel="2" x14ac:dyDescent="0.3">
      <c r="A949" t="s">
        <v>5136</v>
      </c>
      <c r="B949" t="s">
        <v>464</v>
      </c>
      <c r="C949" s="1">
        <v>28847</v>
      </c>
      <c r="D949" t="s">
        <v>1921</v>
      </c>
      <c r="E949" t="s">
        <v>1922</v>
      </c>
      <c r="F949" t="str">
        <f>IF(separador &gt; 0, LEFT(E949,separador - 1), E949)</f>
        <v>Miami</v>
      </c>
      <c r="G949" t="str">
        <f>IF(separador &gt; 0, RIGHT(E949,largo -separador - 1),"-")</f>
        <v>FL 33156</v>
      </c>
      <c r="H949" t="s">
        <v>4132</v>
      </c>
      <c r="I949" t="s">
        <v>3145</v>
      </c>
      <c r="J949" s="2">
        <v>43806.158067129632</v>
      </c>
      <c r="K949" t="s">
        <v>3672</v>
      </c>
      <c r="M949">
        <f>IFERROR(FIND(",",E949),0)</f>
        <v>6</v>
      </c>
      <c r="N949">
        <f>LEN(E949)</f>
        <v>15</v>
      </c>
    </row>
    <row r="950" spans="1:14" outlineLevel="2" x14ac:dyDescent="0.3">
      <c r="A950" s="4" t="s">
        <v>5472</v>
      </c>
      <c r="B950" s="4" t="s">
        <v>800</v>
      </c>
      <c r="C950" s="12">
        <v>28761</v>
      </c>
      <c r="D950" s="4" t="s">
        <v>2402</v>
      </c>
      <c r="E950" s="4" t="s">
        <v>2403</v>
      </c>
      <c r="F950" s="4" t="str">
        <f>IF(separador &gt; 0, LEFT(E950,separador - 1), E950)</f>
        <v>Corona</v>
      </c>
      <c r="G950" s="4" t="str">
        <f>IF(separador &gt; 0, RIGHT(E950,largo -separador - 1),"-")</f>
        <v>NY 11368</v>
      </c>
      <c r="H950" s="4" t="s">
        <v>4468</v>
      </c>
      <c r="I950" s="4" t="s">
        <v>3471</v>
      </c>
      <c r="J950" s="13">
        <v>43582.424571759257</v>
      </c>
      <c r="K950" s="4" t="s">
        <v>3672</v>
      </c>
      <c r="M950" s="4">
        <f>IFERROR(FIND(",",E950),0)</f>
        <v>7</v>
      </c>
      <c r="N950" s="4">
        <f>LEN(E950)</f>
        <v>16</v>
      </c>
    </row>
    <row r="951" spans="1:14" outlineLevel="2" x14ac:dyDescent="0.3">
      <c r="A951" t="s">
        <v>5510</v>
      </c>
      <c r="B951" t="s">
        <v>838</v>
      </c>
      <c r="C951" s="1">
        <v>28732</v>
      </c>
      <c r="D951" t="s">
        <v>2477</v>
      </c>
      <c r="E951" t="s">
        <v>2478</v>
      </c>
      <c r="F951" t="str">
        <f>IF(separador &gt; 0, LEFT(E951,separador - 1), E951)</f>
        <v>Brooklyn</v>
      </c>
      <c r="G951" t="str">
        <f>IF(separador &gt; 0, RIGHT(E951,largo -separador - 1),"-")</f>
        <v>NY 11237</v>
      </c>
      <c r="H951" t="s">
        <v>4506</v>
      </c>
      <c r="I951" t="s">
        <v>3509</v>
      </c>
      <c r="J951" s="2">
        <v>41055.443333333336</v>
      </c>
      <c r="K951" t="s">
        <v>3672</v>
      </c>
      <c r="M951">
        <f>IFERROR(FIND(",",E951),0)</f>
        <v>9</v>
      </c>
      <c r="N951">
        <f>LEN(E951)</f>
        <v>18</v>
      </c>
    </row>
    <row r="952" spans="1:14" outlineLevel="2" x14ac:dyDescent="0.3">
      <c r="A952" s="4" t="s">
        <v>5534</v>
      </c>
      <c r="B952" s="4" t="s">
        <v>862</v>
      </c>
      <c r="C952" s="12">
        <v>28730</v>
      </c>
      <c r="D952" s="4" t="s">
        <v>2525</v>
      </c>
      <c r="E952" s="4" t="s">
        <v>2526</v>
      </c>
      <c r="F952" s="4" t="str">
        <f>IF(separador &gt; 0, LEFT(E952,separador - 1), E952)</f>
        <v>Rochester</v>
      </c>
      <c r="G952" s="4" t="str">
        <f>IF(separador &gt; 0, RIGHT(E952,largo -separador - 1),"-")</f>
        <v>NY 14609</v>
      </c>
      <c r="H952" s="4" t="s">
        <v>4530</v>
      </c>
      <c r="I952" s="4" t="s">
        <v>3532</v>
      </c>
      <c r="J952" s="13">
        <v>44105.27375</v>
      </c>
      <c r="K952" s="4" t="s">
        <v>3672</v>
      </c>
      <c r="M952" s="4">
        <f>IFERROR(FIND(",",E952),0)</f>
        <v>10</v>
      </c>
      <c r="N952" s="4">
        <f>LEN(E952)</f>
        <v>19</v>
      </c>
    </row>
    <row r="953" spans="1:14" outlineLevel="2" x14ac:dyDescent="0.3">
      <c r="A953" t="s">
        <v>5224</v>
      </c>
      <c r="B953" t="s">
        <v>552</v>
      </c>
      <c r="C953" s="1">
        <v>28667</v>
      </c>
      <c r="D953" t="s">
        <v>2051</v>
      </c>
      <c r="E953" t="s">
        <v>1960</v>
      </c>
      <c r="F953" t="str">
        <f>IF(separador &gt; 0, LEFT(E953,separador - 1), E953)</f>
        <v>London</v>
      </c>
      <c r="G953" t="str">
        <f>IF(separador &gt; 0, RIGHT(E953,largo -separador - 1),"-")</f>
        <v>-</v>
      </c>
      <c r="H953" t="s">
        <v>4220</v>
      </c>
      <c r="I953" t="s">
        <v>3232</v>
      </c>
      <c r="J953" s="2">
        <v>43138.86824074074</v>
      </c>
      <c r="K953" t="s">
        <v>3672</v>
      </c>
      <c r="M953">
        <f>IFERROR(FIND(",",E953),0)</f>
        <v>0</v>
      </c>
      <c r="N953">
        <f>LEN(E953)</f>
        <v>6</v>
      </c>
    </row>
    <row r="954" spans="1:14" outlineLevel="2" x14ac:dyDescent="0.3">
      <c r="A954" s="4" t="s">
        <v>4978</v>
      </c>
      <c r="B954" s="4" t="s">
        <v>306</v>
      </c>
      <c r="C954" s="12">
        <v>28664</v>
      </c>
      <c r="D954" s="4" t="s">
        <v>1606</v>
      </c>
      <c r="E954" s="4" t="s">
        <v>1607</v>
      </c>
      <c r="F954" s="4" t="str">
        <f>IF(separador &gt; 0, LEFT(E954,separador - 1), E954)</f>
        <v>149 Jennings Road</v>
      </c>
      <c r="G954" s="4" t="str">
        <f>IF(separador &gt; 0, RIGHT(E954,largo -separador - 1),"-")</f>
        <v>-</v>
      </c>
      <c r="H954" s="4" t="s">
        <v>3974</v>
      </c>
      <c r="I954" s="4" t="s">
        <v>2988</v>
      </c>
      <c r="J954" s="13">
        <v>42467.865381944444</v>
      </c>
      <c r="K954" s="4" t="s">
        <v>3672</v>
      </c>
      <c r="M954" s="4">
        <f>IFERROR(FIND(",",E954),0)</f>
        <v>0</v>
      </c>
      <c r="N954" s="4">
        <f>LEN(E954)</f>
        <v>17</v>
      </c>
    </row>
    <row r="955" spans="1:14" outlineLevel="2" x14ac:dyDescent="0.3">
      <c r="A955" t="s">
        <v>5578</v>
      </c>
      <c r="B955" t="s">
        <v>906</v>
      </c>
      <c r="C955" s="1">
        <v>28609</v>
      </c>
      <c r="D955" t="s">
        <v>2593</v>
      </c>
      <c r="E955" t="s">
        <v>2554</v>
      </c>
      <c r="F955" t="str">
        <f>IF(separador &gt; 0, LEFT(E955,separador - 1), E955)</f>
        <v>South Ozone Park</v>
      </c>
      <c r="G955" t="str">
        <f>IF(separador &gt; 0, RIGHT(E955,largo -separador - 1),"-")</f>
        <v>NY 11420</v>
      </c>
      <c r="H955" t="s">
        <v>4574</v>
      </c>
      <c r="I955" t="s">
        <v>3576</v>
      </c>
      <c r="J955" s="2">
        <v>43752.568020833336</v>
      </c>
      <c r="K955" t="s">
        <v>3672</v>
      </c>
      <c r="M955">
        <f>IFERROR(FIND(",",E955),0)</f>
        <v>17</v>
      </c>
      <c r="N955">
        <f>LEN(E955)</f>
        <v>26</v>
      </c>
    </row>
    <row r="956" spans="1:14" outlineLevel="2" x14ac:dyDescent="0.3">
      <c r="A956" s="4" t="s">
        <v>5360</v>
      </c>
      <c r="B956" s="4" t="s">
        <v>688</v>
      </c>
      <c r="C956" s="12">
        <v>28490</v>
      </c>
      <c r="D956" s="4" t="s">
        <v>2232</v>
      </c>
      <c r="E956" s="4" t="s">
        <v>2233</v>
      </c>
      <c r="F956" s="4" t="str">
        <f>IF(separador &gt; 0, LEFT(E956,separador - 1), E956)</f>
        <v>1 Kings Road</v>
      </c>
      <c r="G956" s="4" t="str">
        <f>IF(separador &gt; 0, RIGHT(E956,largo -separador - 1),"-")</f>
        <v>-</v>
      </c>
      <c r="H956" s="4" t="s">
        <v>4356</v>
      </c>
      <c r="I956" s="4" t="s">
        <v>3364</v>
      </c>
      <c r="J956" s="13">
        <v>44270.88008101852</v>
      </c>
      <c r="K956" s="4" t="s">
        <v>3672</v>
      </c>
      <c r="M956" s="4">
        <f>IFERROR(FIND(",",E956),0)</f>
        <v>0</v>
      </c>
      <c r="N956" s="4">
        <f>LEN(E956)</f>
        <v>12</v>
      </c>
    </row>
    <row r="957" spans="1:14" outlineLevel="2" x14ac:dyDescent="0.3">
      <c r="A957" t="s">
        <v>5154</v>
      </c>
      <c r="B957" t="s">
        <v>482</v>
      </c>
      <c r="C957" s="1">
        <v>28472</v>
      </c>
      <c r="D957" t="s">
        <v>1957</v>
      </c>
      <c r="E957" t="s">
        <v>1958</v>
      </c>
      <c r="F957" t="str">
        <f>IF(separador &gt; 0, LEFT(E957,separador - 1), E957)</f>
        <v>Hollywood</v>
      </c>
      <c r="G957" t="str">
        <f>IF(separador &gt; 0, RIGHT(E957,largo -separador - 1),"-")</f>
        <v>FL 33020</v>
      </c>
      <c r="H957" t="s">
        <v>4150</v>
      </c>
      <c r="I957" t="s">
        <v>3163</v>
      </c>
      <c r="J957" s="2">
        <v>41029.637974537036</v>
      </c>
      <c r="K957" t="s">
        <v>3672</v>
      </c>
      <c r="M957">
        <f>IFERROR(FIND(",",E957),0)</f>
        <v>10</v>
      </c>
      <c r="N957">
        <f>LEN(E957)</f>
        <v>19</v>
      </c>
    </row>
    <row r="958" spans="1:14" outlineLevel="2" x14ac:dyDescent="0.3">
      <c r="A958" s="4" t="s">
        <v>5001</v>
      </c>
      <c r="B958" s="4" t="s">
        <v>329</v>
      </c>
      <c r="C958" s="12">
        <v>28437</v>
      </c>
      <c r="D958" s="4" t="s">
        <v>1652</v>
      </c>
      <c r="E958" s="4" t="s">
        <v>1653</v>
      </c>
      <c r="F958" s="4" t="str">
        <f>IF(separador &gt; 0, LEFT(E958,separador - 1), E958)</f>
        <v>886 Snake Hill St.</v>
      </c>
      <c r="G958" s="4" t="str">
        <f>IF(separador &gt; 0, RIGHT(E958,largo -separador - 1),"-")</f>
        <v>-</v>
      </c>
      <c r="H958" s="4" t="s">
        <v>3997</v>
      </c>
      <c r="I958" s="4" t="s">
        <v>3011</v>
      </c>
      <c r="J958" s="13">
        <v>44282.705451388887</v>
      </c>
      <c r="K958" s="4" t="s">
        <v>3672</v>
      </c>
      <c r="M958" s="4">
        <f>IFERROR(FIND(",",E958),0)</f>
        <v>0</v>
      </c>
      <c r="N958" s="4">
        <f>LEN(E958)</f>
        <v>18</v>
      </c>
    </row>
    <row r="959" spans="1:14" outlineLevel="2" x14ac:dyDescent="0.3">
      <c r="A959" t="s">
        <v>4863</v>
      </c>
      <c r="B959" t="s">
        <v>191</v>
      </c>
      <c r="C959" s="1">
        <v>28373</v>
      </c>
      <c r="D959" t="s">
        <v>1376</v>
      </c>
      <c r="E959" t="s">
        <v>1377</v>
      </c>
      <c r="F959" t="str">
        <f>IF(separador &gt; 0, LEFT(E959,separador - 1), E959)</f>
        <v>8704 Thatcher St.</v>
      </c>
      <c r="G959" t="str">
        <f>IF(separador &gt; 0, RIGHT(E959,largo -separador - 1),"-")</f>
        <v>-</v>
      </c>
      <c r="H959" t="s">
        <v>3859</v>
      </c>
      <c r="I959" t="s">
        <v>2875</v>
      </c>
      <c r="J959" s="2">
        <v>38607.7578125</v>
      </c>
      <c r="K959" t="s">
        <v>3672</v>
      </c>
      <c r="M959">
        <f>IFERROR(FIND(",",E959),0)</f>
        <v>0</v>
      </c>
      <c r="N959">
        <f>LEN(E959)</f>
        <v>17</v>
      </c>
    </row>
    <row r="960" spans="1:14" outlineLevel="2" x14ac:dyDescent="0.3">
      <c r="A960" s="4" t="s">
        <v>5612</v>
      </c>
      <c r="B960" s="4" t="s">
        <v>940</v>
      </c>
      <c r="C960" s="12">
        <v>28283</v>
      </c>
      <c r="D960" s="4" t="s">
        <v>2627</v>
      </c>
      <c r="E960" s="4" t="s">
        <v>2504</v>
      </c>
      <c r="F960" s="4" t="str">
        <f>IF(separador &gt; 0, LEFT(E960,separador - 1), E960)</f>
        <v>Jamaica</v>
      </c>
      <c r="G960" s="4" t="str">
        <f>IF(separador &gt; 0, RIGHT(E960,largo -separador - 1),"-")</f>
        <v>NY 11432</v>
      </c>
      <c r="H960" s="4" t="s">
        <v>4608</v>
      </c>
      <c r="I960" s="4" t="s">
        <v>3609</v>
      </c>
      <c r="J960" s="13">
        <v>42310.298125000001</v>
      </c>
      <c r="K960" s="4" t="s">
        <v>3672</v>
      </c>
      <c r="M960" s="4">
        <f>IFERROR(FIND(",",E960),0)</f>
        <v>8</v>
      </c>
      <c r="N960" s="4">
        <f>LEN(E960)</f>
        <v>17</v>
      </c>
    </row>
    <row r="961" spans="1:14" outlineLevel="2" x14ac:dyDescent="0.3">
      <c r="A961" t="s">
        <v>4845</v>
      </c>
      <c r="B961" t="s">
        <v>173</v>
      </c>
      <c r="C961" s="1">
        <v>28278</v>
      </c>
      <c r="D961" t="s">
        <v>1340</v>
      </c>
      <c r="E961" t="s">
        <v>1341</v>
      </c>
      <c r="F961" t="str">
        <f>IF(separador &gt; 0, LEFT(E961,separador - 1), E961)</f>
        <v>Canyon Country</v>
      </c>
      <c r="G961" t="str">
        <f>IF(separador &gt; 0, RIGHT(E961,largo -separador - 1),"-")</f>
        <v>CA 91351</v>
      </c>
      <c r="H961" t="s">
        <v>3841</v>
      </c>
      <c r="I961" t="s">
        <v>2858</v>
      </c>
      <c r="J961" s="2">
        <v>39303.364722222221</v>
      </c>
      <c r="K961" t="s">
        <v>3672</v>
      </c>
      <c r="M961">
        <f>IFERROR(FIND(",",E961),0)</f>
        <v>15</v>
      </c>
      <c r="N961">
        <f>LEN(E961)</f>
        <v>24</v>
      </c>
    </row>
    <row r="962" spans="1:14" outlineLevel="2" x14ac:dyDescent="0.3">
      <c r="A962" s="4" t="s">
        <v>5342</v>
      </c>
      <c r="B962" s="4" t="s">
        <v>670</v>
      </c>
      <c r="C962" s="12">
        <v>28248</v>
      </c>
      <c r="D962" s="4" t="s">
        <v>2208</v>
      </c>
      <c r="E962" s="4" t="s">
        <v>2209</v>
      </c>
      <c r="F962" s="4" t="str">
        <f>IF(separador &gt; 0, LEFT(E962,separador - 1), E962)</f>
        <v>79 North Road</v>
      </c>
      <c r="G962" s="4" t="str">
        <f>IF(separador &gt; 0, RIGHT(E962,largo -separador - 1),"-")</f>
        <v>-</v>
      </c>
      <c r="H962" s="4" t="s">
        <v>4338</v>
      </c>
      <c r="I962" s="4" t="s">
        <v>3346</v>
      </c>
      <c r="J962" s="13">
        <v>44239.982303240744</v>
      </c>
      <c r="K962" s="4" t="s">
        <v>3672</v>
      </c>
      <c r="M962" s="4">
        <f>IFERROR(FIND(",",E962),0)</f>
        <v>0</v>
      </c>
      <c r="N962" s="4">
        <f>LEN(E962)</f>
        <v>13</v>
      </c>
    </row>
    <row r="963" spans="1:14" outlineLevel="2" x14ac:dyDescent="0.3">
      <c r="A963" t="s">
        <v>4724</v>
      </c>
      <c r="B963" t="s">
        <v>52</v>
      </c>
      <c r="C963" s="1">
        <v>28102</v>
      </c>
      <c r="D963" t="s">
        <v>1098</v>
      </c>
      <c r="E963" t="s">
        <v>1099</v>
      </c>
      <c r="F963" t="str">
        <f>IF(separador &gt; 0, LEFT(E963,separador - 1), E963)</f>
        <v>44 School Lane</v>
      </c>
      <c r="G963" t="str">
        <f>IF(separador &gt; 0, RIGHT(E963,largo -separador - 1),"-")</f>
        <v>-</v>
      </c>
      <c r="H963" t="s">
        <v>3720</v>
      </c>
      <c r="I963" t="s">
        <v>2738</v>
      </c>
      <c r="J963" s="2">
        <v>39359.736932870372</v>
      </c>
      <c r="K963" t="s">
        <v>3672</v>
      </c>
      <c r="M963">
        <f>IFERROR(FIND(",",E963),0)</f>
        <v>0</v>
      </c>
      <c r="N963">
        <f>LEN(E963)</f>
        <v>14</v>
      </c>
    </row>
    <row r="964" spans="1:14" outlineLevel="2" x14ac:dyDescent="0.3">
      <c r="A964" s="4" t="s">
        <v>5499</v>
      </c>
      <c r="B964" s="4" t="s">
        <v>827</v>
      </c>
      <c r="C964" s="12">
        <v>28084</v>
      </c>
      <c r="D964" s="4" t="s">
        <v>2455</v>
      </c>
      <c r="E964" s="4" t="s">
        <v>2456</v>
      </c>
      <c r="F964" s="4" t="str">
        <f>IF(separador &gt; 0, LEFT(E964,separador - 1), E964)</f>
        <v>Hamburg</v>
      </c>
      <c r="G964" s="4" t="str">
        <f>IF(separador &gt; 0, RIGHT(E964,largo -separador - 1),"-")</f>
        <v>NY 14075</v>
      </c>
      <c r="H964" s="4" t="s">
        <v>4495</v>
      </c>
      <c r="I964" s="4" t="s">
        <v>3498</v>
      </c>
      <c r="J964" s="13">
        <v>40417.572175925925</v>
      </c>
      <c r="K964" s="4" t="s">
        <v>3672</v>
      </c>
      <c r="M964" s="4">
        <f>IFERROR(FIND(",",E964),0)</f>
        <v>8</v>
      </c>
      <c r="N964" s="4">
        <f>LEN(E964)</f>
        <v>17</v>
      </c>
    </row>
    <row r="965" spans="1:14" outlineLevel="2" x14ac:dyDescent="0.3">
      <c r="A965" t="s">
        <v>5662</v>
      </c>
      <c r="B965" t="s">
        <v>990</v>
      </c>
      <c r="C965" s="1">
        <v>28066</v>
      </c>
      <c r="D965" t="s">
        <v>2677</v>
      </c>
      <c r="E965" t="s">
        <v>2340</v>
      </c>
      <c r="F965" t="str">
        <f>IF(separador &gt; 0, LEFT(E965,separador - 1), E965)</f>
        <v>Bronx</v>
      </c>
      <c r="G965" t="str">
        <f>IF(separador &gt; 0, RIGHT(E965,largo -separador - 1),"-")</f>
        <v>NY 10472</v>
      </c>
      <c r="H965" t="s">
        <v>4658</v>
      </c>
      <c r="I965" t="s">
        <v>3654</v>
      </c>
      <c r="J965" s="2">
        <v>43256.360127314816</v>
      </c>
      <c r="K965" t="s">
        <v>3672</v>
      </c>
      <c r="M965">
        <f>IFERROR(FIND(",",E965),0)</f>
        <v>6</v>
      </c>
      <c r="N965">
        <f>LEN(E965)</f>
        <v>15</v>
      </c>
    </row>
    <row r="966" spans="1:14" outlineLevel="2" x14ac:dyDescent="0.3">
      <c r="A966" s="4" t="s">
        <v>5608</v>
      </c>
      <c r="B966" s="4" t="s">
        <v>936</v>
      </c>
      <c r="C966" s="12">
        <v>28011</v>
      </c>
      <c r="D966" s="4" t="s">
        <v>2623</v>
      </c>
      <c r="E966" s="4" t="s">
        <v>2570</v>
      </c>
      <c r="F966" s="4" t="str">
        <f>IF(separador &gt; 0, LEFT(E966,separador - 1), E966)</f>
        <v>Astoria</v>
      </c>
      <c r="G966" s="4" t="str">
        <f>IF(separador &gt; 0, RIGHT(E966,largo -separador - 1),"-")</f>
        <v>NY 11103</v>
      </c>
      <c r="H966" s="4" t="s">
        <v>4604</v>
      </c>
      <c r="I966" s="4" t="s">
        <v>3605</v>
      </c>
      <c r="J966" s="13">
        <v>42059.875555555554</v>
      </c>
      <c r="K966" s="4" t="s">
        <v>3672</v>
      </c>
      <c r="M966" s="4">
        <f>IFERROR(FIND(",",E966),0)</f>
        <v>8</v>
      </c>
      <c r="N966" s="4">
        <f>LEN(E966)</f>
        <v>17</v>
      </c>
    </row>
    <row r="967" spans="1:14" outlineLevel="2" x14ac:dyDescent="0.3">
      <c r="A967" t="s">
        <v>5148</v>
      </c>
      <c r="B967" t="s">
        <v>476</v>
      </c>
      <c r="C967" s="1">
        <v>27999</v>
      </c>
      <c r="D967" t="s">
        <v>1945</v>
      </c>
      <c r="E967" t="s">
        <v>1946</v>
      </c>
      <c r="F967" t="str">
        <f>IF(separador &gt; 0, LEFT(E967,separador - 1), E967)</f>
        <v>Miami</v>
      </c>
      <c r="G967" t="str">
        <f>IF(separador &gt; 0, RIGHT(E967,largo -separador - 1),"-")</f>
        <v>FL 33147</v>
      </c>
      <c r="H967" t="s">
        <v>4144</v>
      </c>
      <c r="I967" t="s">
        <v>3157</v>
      </c>
      <c r="J967" s="2">
        <v>40240.265752314815</v>
      </c>
      <c r="K967" t="s">
        <v>3672</v>
      </c>
      <c r="M967">
        <f>IFERROR(FIND(",",E967),0)</f>
        <v>6</v>
      </c>
      <c r="N967">
        <f>LEN(E967)</f>
        <v>15</v>
      </c>
    </row>
    <row r="968" spans="1:14" outlineLevel="2" x14ac:dyDescent="0.3">
      <c r="A968" s="4" t="s">
        <v>4920</v>
      </c>
      <c r="B968" s="4" t="s">
        <v>248</v>
      </c>
      <c r="C968" s="12">
        <v>27987</v>
      </c>
      <c r="D968" s="4" t="s">
        <v>1490</v>
      </c>
      <c r="E968" s="4" t="s">
        <v>1491</v>
      </c>
      <c r="F968" s="4" t="str">
        <f>IF(separador &gt; 0, LEFT(E968,separador - 1), E968)</f>
        <v>235 Bowman Street</v>
      </c>
      <c r="G968" s="4" t="str">
        <f>IF(separador &gt; 0, RIGHT(E968,largo -separador - 1),"-")</f>
        <v>-</v>
      </c>
      <c r="H968" s="4" t="s">
        <v>3916</v>
      </c>
      <c r="I968" s="4" t="s">
        <v>2931</v>
      </c>
      <c r="J968" s="13">
        <v>39781.585057870368</v>
      </c>
      <c r="K968" s="4" t="s">
        <v>3672</v>
      </c>
      <c r="M968" s="4">
        <f>IFERROR(FIND(",",E968),0)</f>
        <v>0</v>
      </c>
      <c r="N968" s="4">
        <f>LEN(E968)</f>
        <v>17</v>
      </c>
    </row>
    <row r="969" spans="1:14" outlineLevel="2" x14ac:dyDescent="0.3">
      <c r="A969" t="s">
        <v>5199</v>
      </c>
      <c r="B969" t="s">
        <v>527</v>
      </c>
      <c r="C969" s="1">
        <v>27927</v>
      </c>
      <c r="D969" t="s">
        <v>1960</v>
      </c>
      <c r="E969" t="s">
        <v>2019</v>
      </c>
      <c r="F969" t="str">
        <f>IF(separador &gt; 0, LEFT(E969,separador - 1), E969)</f>
        <v>N56 8HM</v>
      </c>
      <c r="G969" t="str">
        <f>IF(separador &gt; 0, RIGHT(E969,largo -separador - 1),"-")</f>
        <v>-</v>
      </c>
      <c r="H969" t="s">
        <v>4195</v>
      </c>
      <c r="I969" t="s">
        <v>3207</v>
      </c>
      <c r="J969" s="2">
        <v>40284.942569444444</v>
      </c>
      <c r="K969" t="s">
        <v>3672</v>
      </c>
      <c r="M969">
        <f>IFERROR(FIND(",",E969),0)</f>
        <v>0</v>
      </c>
      <c r="N969">
        <f>LEN(E969)</f>
        <v>7</v>
      </c>
    </row>
    <row r="970" spans="1:14" outlineLevel="2" x14ac:dyDescent="0.3">
      <c r="A970" s="4" t="s">
        <v>5391</v>
      </c>
      <c r="B970" s="4" t="s">
        <v>719</v>
      </c>
      <c r="C970" s="12">
        <v>27875</v>
      </c>
      <c r="D970" s="4" t="s">
        <v>1960</v>
      </c>
      <c r="E970" s="4" t="s">
        <v>2273</v>
      </c>
      <c r="F970" s="4" t="str">
        <f>IF(separador &gt; 0, LEFT(E970,separador - 1), E970)</f>
        <v>N91 6SR</v>
      </c>
      <c r="G970" s="4" t="str">
        <f>IF(separador &gt; 0, RIGHT(E970,largo -separador - 1),"-")</f>
        <v>-</v>
      </c>
      <c r="H970" s="4" t="s">
        <v>4387</v>
      </c>
      <c r="I970" s="4" t="s">
        <v>3394</v>
      </c>
      <c r="J970" s="13">
        <v>43279.292523148149</v>
      </c>
      <c r="K970" s="4" t="s">
        <v>3672</v>
      </c>
      <c r="M970" s="4">
        <f>IFERROR(FIND(",",E970),0)</f>
        <v>0</v>
      </c>
      <c r="N970" s="4">
        <f>LEN(E970)</f>
        <v>7</v>
      </c>
    </row>
    <row r="971" spans="1:14" outlineLevel="2" x14ac:dyDescent="0.3">
      <c r="A971" t="s">
        <v>4727</v>
      </c>
      <c r="B971" t="s">
        <v>55</v>
      </c>
      <c r="C971" s="1">
        <v>27862</v>
      </c>
      <c r="D971" t="s">
        <v>1104</v>
      </c>
      <c r="E971" t="s">
        <v>1105</v>
      </c>
      <c r="F971" t="str">
        <f>IF(separador &gt; 0, LEFT(E971,separador - 1), E971)</f>
        <v>290 Albert Road</v>
      </c>
      <c r="G971" t="str">
        <f>IF(separador &gt; 0, RIGHT(E971,largo -separador - 1),"-")</f>
        <v>-</v>
      </c>
      <c r="H971" t="s">
        <v>3723</v>
      </c>
      <c r="I971" t="s">
        <v>2741</v>
      </c>
      <c r="J971" s="2">
        <v>40307.522407407407</v>
      </c>
      <c r="K971" t="s">
        <v>3672</v>
      </c>
      <c r="M971">
        <f>IFERROR(FIND(",",E971),0)</f>
        <v>0</v>
      </c>
      <c r="N971">
        <f>LEN(E971)</f>
        <v>15</v>
      </c>
    </row>
    <row r="972" spans="1:14" outlineLevel="2" x14ac:dyDescent="0.3">
      <c r="A972" s="4" t="s">
        <v>4737</v>
      </c>
      <c r="B972" s="4" t="s">
        <v>65</v>
      </c>
      <c r="C972" s="12">
        <v>27835</v>
      </c>
      <c r="D972" s="4" t="s">
        <v>1124</v>
      </c>
      <c r="E972" s="4" t="s">
        <v>1125</v>
      </c>
      <c r="F972" s="4" t="str">
        <f>IF(separador &gt; 0, LEFT(E972,separador - 1), E972)</f>
        <v>LD87 1KV</v>
      </c>
      <c r="G972" s="4" t="str">
        <f>IF(separador &gt; 0, RIGHT(E972,largo -separador - 1),"-")</f>
        <v>-</v>
      </c>
      <c r="H972" s="4" t="s">
        <v>3733</v>
      </c>
      <c r="I972" s="4" t="s">
        <v>2751</v>
      </c>
      <c r="J972" s="13">
        <v>43170.143125000002</v>
      </c>
      <c r="K972" s="4" t="s">
        <v>3672</v>
      </c>
      <c r="M972" s="4">
        <f>IFERROR(FIND(",",E972),0)</f>
        <v>0</v>
      </c>
      <c r="N972" s="4">
        <f>LEN(E972)</f>
        <v>8</v>
      </c>
    </row>
    <row r="973" spans="1:14" outlineLevel="2" x14ac:dyDescent="0.3">
      <c r="A973" t="s">
        <v>5083</v>
      </c>
      <c r="B973" t="s">
        <v>411</v>
      </c>
      <c r="C973" s="1">
        <v>27667</v>
      </c>
      <c r="D973" t="s">
        <v>1816</v>
      </c>
      <c r="E973" t="s">
        <v>1817</v>
      </c>
      <c r="F973" t="str">
        <f>IF(separador &gt; 0, LEFT(E973,separador - 1), E973)</f>
        <v>7266 Trout Drive</v>
      </c>
      <c r="G973" t="str">
        <f>IF(separador &gt; 0, RIGHT(E973,largo -separador - 1),"-")</f>
        <v>-</v>
      </c>
      <c r="H973" t="s">
        <v>4079</v>
      </c>
      <c r="I973" t="s">
        <v>3093</v>
      </c>
      <c r="J973" s="2">
        <v>40103.738969907405</v>
      </c>
      <c r="K973" t="s">
        <v>3672</v>
      </c>
      <c r="M973">
        <f>IFERROR(FIND(",",E973),0)</f>
        <v>0</v>
      </c>
      <c r="N973">
        <f>LEN(E973)</f>
        <v>16</v>
      </c>
    </row>
    <row r="974" spans="1:14" outlineLevel="2" x14ac:dyDescent="0.3">
      <c r="A974" s="4" t="s">
        <v>5527</v>
      </c>
      <c r="B974" s="4" t="s">
        <v>855</v>
      </c>
      <c r="C974" s="12">
        <v>27653</v>
      </c>
      <c r="D974" s="4" t="s">
        <v>2511</v>
      </c>
      <c r="E974" s="4" t="s">
        <v>2512</v>
      </c>
      <c r="F974" s="4" t="str">
        <f>IF(separador &gt; 0, LEFT(E974,separador - 1), E974)</f>
        <v>Bronx</v>
      </c>
      <c r="G974" s="4" t="str">
        <f>IF(separador &gt; 0, RIGHT(E974,largo -separador - 1),"-")</f>
        <v>NY 10457</v>
      </c>
      <c r="H974" s="4" t="s">
        <v>4523</v>
      </c>
      <c r="I974" s="4" t="s">
        <v>3525</v>
      </c>
      <c r="J974" s="13">
        <v>43680.31931712963</v>
      </c>
      <c r="K974" s="4" t="s">
        <v>3672</v>
      </c>
      <c r="M974" s="4">
        <f>IFERROR(FIND(",",E974),0)</f>
        <v>6</v>
      </c>
      <c r="N974" s="4">
        <f>LEN(E974)</f>
        <v>15</v>
      </c>
    </row>
    <row r="975" spans="1:14" outlineLevel="2" x14ac:dyDescent="0.3">
      <c r="A975" t="s">
        <v>4868</v>
      </c>
      <c r="B975" t="s">
        <v>196</v>
      </c>
      <c r="C975" s="1">
        <v>27517</v>
      </c>
      <c r="D975" t="s">
        <v>1386</v>
      </c>
      <c r="E975" t="s">
        <v>1387</v>
      </c>
      <c r="F975" t="str">
        <f>IF(separador &gt; 0, LEFT(E975,separador - 1), E975)</f>
        <v>634 Theatre Street</v>
      </c>
      <c r="G975" t="str">
        <f>IF(separador &gt; 0, RIGHT(E975,largo -separador - 1),"-")</f>
        <v>-</v>
      </c>
      <c r="H975" t="s">
        <v>3864</v>
      </c>
      <c r="I975" t="s">
        <v>2880</v>
      </c>
      <c r="J975" s="2">
        <v>41841.380231481482</v>
      </c>
      <c r="K975" t="s">
        <v>3672</v>
      </c>
      <c r="M975">
        <f>IFERROR(FIND(",",E975),0)</f>
        <v>0</v>
      </c>
      <c r="N975">
        <f>LEN(E975)</f>
        <v>18</v>
      </c>
    </row>
    <row r="976" spans="1:14" outlineLevel="2" x14ac:dyDescent="0.3">
      <c r="A976" s="4" t="s">
        <v>5344</v>
      </c>
      <c r="B976" s="4" t="s">
        <v>672</v>
      </c>
      <c r="C976" s="12">
        <v>27448</v>
      </c>
      <c r="D976" s="4" t="s">
        <v>2211</v>
      </c>
      <c r="E976" s="4" t="s">
        <v>1960</v>
      </c>
      <c r="F976" s="4" t="str">
        <f>IF(separador &gt; 0, LEFT(E976,separador - 1), E976)</f>
        <v>London</v>
      </c>
      <c r="G976" s="4" t="str">
        <f>IF(separador &gt; 0, RIGHT(E976,largo -separador - 1),"-")</f>
        <v>-</v>
      </c>
      <c r="H976" s="4" t="s">
        <v>4340</v>
      </c>
      <c r="I976" s="4" t="s">
        <v>3348</v>
      </c>
      <c r="J976" s="13">
        <v>38850.953553240739</v>
      </c>
      <c r="K976" s="4" t="s">
        <v>3672</v>
      </c>
      <c r="M976" s="4">
        <f>IFERROR(FIND(",",E976),0)</f>
        <v>0</v>
      </c>
      <c r="N976" s="4">
        <f>LEN(E976)</f>
        <v>6</v>
      </c>
    </row>
    <row r="977" spans="1:14" outlineLevel="2" x14ac:dyDescent="0.3">
      <c r="A977" t="s">
        <v>5135</v>
      </c>
      <c r="B977" t="s">
        <v>463</v>
      </c>
      <c r="C977" s="1">
        <v>27440</v>
      </c>
      <c r="D977" t="s">
        <v>1919</v>
      </c>
      <c r="E977" t="s">
        <v>1920</v>
      </c>
      <c r="F977" t="str">
        <f>IF(separador &gt; 0, LEFT(E977,separador - 1), E977)</f>
        <v>Bradenton</v>
      </c>
      <c r="G977" t="str">
        <f>IF(separador &gt; 0, RIGHT(E977,largo -separador - 1),"-")</f>
        <v>FL 34208</v>
      </c>
      <c r="H977" t="s">
        <v>4131</v>
      </c>
      <c r="I977" t="s">
        <v>3144</v>
      </c>
      <c r="J977" s="2">
        <v>39327.306608796294</v>
      </c>
      <c r="K977" t="s">
        <v>3672</v>
      </c>
      <c r="M977">
        <f>IFERROR(FIND(",",E977),0)</f>
        <v>10</v>
      </c>
      <c r="N977">
        <f>LEN(E977)</f>
        <v>19</v>
      </c>
    </row>
    <row r="978" spans="1:14" outlineLevel="2" x14ac:dyDescent="0.3">
      <c r="A978" s="4" t="s">
        <v>5215</v>
      </c>
      <c r="B978" s="4" t="s">
        <v>543</v>
      </c>
      <c r="C978" s="12">
        <v>27310</v>
      </c>
      <c r="D978" s="4" t="s">
        <v>2040</v>
      </c>
      <c r="E978" s="4" t="s">
        <v>1960</v>
      </c>
      <c r="F978" s="4" t="str">
        <f>IF(separador &gt; 0, LEFT(E978,separador - 1), E978)</f>
        <v>London</v>
      </c>
      <c r="G978" s="4" t="str">
        <f>IF(separador &gt; 0, RIGHT(E978,largo -separador - 1),"-")</f>
        <v>-</v>
      </c>
      <c r="H978" s="4" t="s">
        <v>4211</v>
      </c>
      <c r="I978" s="4" t="s">
        <v>3223</v>
      </c>
      <c r="J978" s="13">
        <v>39221.182083333333</v>
      </c>
      <c r="K978" s="4" t="s">
        <v>3672</v>
      </c>
      <c r="M978" s="4">
        <f>IFERROR(FIND(",",E978),0)</f>
        <v>0</v>
      </c>
      <c r="N978" s="4">
        <f>LEN(E978)</f>
        <v>6</v>
      </c>
    </row>
    <row r="979" spans="1:14" outlineLevel="2" x14ac:dyDescent="0.3">
      <c r="A979" t="s">
        <v>4808</v>
      </c>
      <c r="B979" t="s">
        <v>136</v>
      </c>
      <c r="C979" s="1">
        <v>27105</v>
      </c>
      <c r="D979" t="s">
        <v>1266</v>
      </c>
      <c r="E979" t="s">
        <v>1267</v>
      </c>
      <c r="F979" t="str">
        <f>IF(separador &gt; 0, LEFT(E979,separador - 1), E979)</f>
        <v>Tustin</v>
      </c>
      <c r="G979" t="str">
        <f>IF(separador &gt; 0, RIGHT(E979,largo -separador - 1),"-")</f>
        <v>CA 92780</v>
      </c>
      <c r="H979" t="s">
        <v>3804</v>
      </c>
      <c r="I979" t="s">
        <v>2822</v>
      </c>
      <c r="J979" s="2">
        <v>43256.849687499998</v>
      </c>
      <c r="K979" t="s">
        <v>3672</v>
      </c>
      <c r="M979">
        <f>IFERROR(FIND(",",E979),0)</f>
        <v>7</v>
      </c>
      <c r="N979">
        <f>LEN(E979)</f>
        <v>16</v>
      </c>
    </row>
    <row r="980" spans="1:14" outlineLevel="2" x14ac:dyDescent="0.3">
      <c r="A980" s="4" t="s">
        <v>5579</v>
      </c>
      <c r="B980" s="4" t="s">
        <v>907</v>
      </c>
      <c r="C980" s="12">
        <v>27071</v>
      </c>
      <c r="D980" s="4" t="s">
        <v>2594</v>
      </c>
      <c r="E980" s="4" t="s">
        <v>2421</v>
      </c>
      <c r="F980" s="4" t="str">
        <f>IF(separador &gt; 0, LEFT(E980,separador - 1), E980)</f>
        <v>Brooklyn</v>
      </c>
      <c r="G980" s="4" t="str">
        <f>IF(separador &gt; 0, RIGHT(E980,largo -separador - 1),"-")</f>
        <v>NY 11220</v>
      </c>
      <c r="H980" s="4" t="s">
        <v>4575</v>
      </c>
      <c r="I980" s="4" t="s">
        <v>3577</v>
      </c>
      <c r="J980" s="13">
        <v>42224.691122685188</v>
      </c>
      <c r="K980" s="4" t="s">
        <v>3672</v>
      </c>
      <c r="M980" s="4">
        <f>IFERROR(FIND(",",E980),0)</f>
        <v>9</v>
      </c>
      <c r="N980" s="4">
        <f>LEN(E980)</f>
        <v>18</v>
      </c>
    </row>
    <row r="981" spans="1:14" outlineLevel="2" x14ac:dyDescent="0.3">
      <c r="A981" t="s">
        <v>4806</v>
      </c>
      <c r="B981" t="s">
        <v>134</v>
      </c>
      <c r="C981" s="1">
        <v>26910</v>
      </c>
      <c r="D981" t="s">
        <v>1262</v>
      </c>
      <c r="E981" t="s">
        <v>1263</v>
      </c>
      <c r="F981" t="str">
        <f>IF(separador &gt; 0, LEFT(E981,separador - 1), E981)</f>
        <v>Los Angeles</v>
      </c>
      <c r="G981" t="str">
        <f>IF(separador &gt; 0, RIGHT(E981,largo -separador - 1),"-")</f>
        <v>CA 90037</v>
      </c>
      <c r="H981" t="s">
        <v>3802</v>
      </c>
      <c r="I981" t="s">
        <v>2820</v>
      </c>
      <c r="J981" s="2">
        <v>39837.372164351851</v>
      </c>
      <c r="K981" t="s">
        <v>3672</v>
      </c>
      <c r="M981">
        <f>IFERROR(FIND(",",E981),0)</f>
        <v>12</v>
      </c>
      <c r="N981">
        <f>LEN(E981)</f>
        <v>21</v>
      </c>
    </row>
    <row r="982" spans="1:14" outlineLevel="2" x14ac:dyDescent="0.3">
      <c r="A982" s="4" t="s">
        <v>4731</v>
      </c>
      <c r="B982" s="4" t="s">
        <v>59</v>
      </c>
      <c r="C982" s="12">
        <v>26904</v>
      </c>
      <c r="D982" s="4" t="s">
        <v>1112</v>
      </c>
      <c r="E982" s="4" t="s">
        <v>1113</v>
      </c>
      <c r="F982" s="4" t="str">
        <f>IF(separador &gt; 0, LEFT(E982,separador - 1), E982)</f>
        <v>WF81 5TB</v>
      </c>
      <c r="G982" s="4" t="str">
        <f>IF(separador &gt; 0, RIGHT(E982,largo -separador - 1),"-")</f>
        <v>-</v>
      </c>
      <c r="H982" s="4" t="s">
        <v>3727</v>
      </c>
      <c r="I982" s="4" t="s">
        <v>2745</v>
      </c>
      <c r="J982" s="13">
        <v>44126.775763888887</v>
      </c>
      <c r="K982" s="4" t="s">
        <v>3672</v>
      </c>
      <c r="M982" s="4">
        <f>IFERROR(FIND(",",E982),0)</f>
        <v>0</v>
      </c>
      <c r="N982" s="4">
        <f>LEN(E982)</f>
        <v>8</v>
      </c>
    </row>
    <row r="983" spans="1:14" outlineLevel="2" x14ac:dyDescent="0.3">
      <c r="A983" t="s">
        <v>5523</v>
      </c>
      <c r="B983" t="s">
        <v>851</v>
      </c>
      <c r="C983" s="1">
        <v>26846</v>
      </c>
      <c r="D983" t="s">
        <v>2503</v>
      </c>
      <c r="E983" t="s">
        <v>2504</v>
      </c>
      <c r="F983" t="str">
        <f>IF(separador &gt; 0, LEFT(E983,separador - 1), E983)</f>
        <v>Jamaica</v>
      </c>
      <c r="G983" t="str">
        <f>IF(separador &gt; 0, RIGHT(E983,largo -separador - 1),"-")</f>
        <v>NY 11432</v>
      </c>
      <c r="H983" t="s">
        <v>4519</v>
      </c>
      <c r="I983" t="s">
        <v>3023</v>
      </c>
      <c r="J983" s="2">
        <v>41930.640081018515</v>
      </c>
      <c r="K983" t="s">
        <v>3672</v>
      </c>
      <c r="M983">
        <f>IFERROR(FIND(",",E983),0)</f>
        <v>8</v>
      </c>
      <c r="N983">
        <f>LEN(E983)</f>
        <v>17</v>
      </c>
    </row>
    <row r="984" spans="1:14" outlineLevel="2" x14ac:dyDescent="0.3">
      <c r="A984" s="4" t="s">
        <v>5450</v>
      </c>
      <c r="B984" s="4" t="s">
        <v>778</v>
      </c>
      <c r="C984" s="12">
        <v>26668</v>
      </c>
      <c r="D984" s="4" t="s">
        <v>2359</v>
      </c>
      <c r="E984" s="4" t="s">
        <v>2360</v>
      </c>
      <c r="F984" s="4" t="str">
        <f>IF(separador &gt; 0, LEFT(E984,separador - 1), E984)</f>
        <v>Bronx</v>
      </c>
      <c r="G984" s="4" t="str">
        <f>IF(separador &gt; 0, RIGHT(E984,largo -separador - 1),"-")</f>
        <v>NY 10461</v>
      </c>
      <c r="H984" s="4" t="s">
        <v>4446</v>
      </c>
      <c r="I984" s="4" t="s">
        <v>3449</v>
      </c>
      <c r="J984" s="13">
        <v>40186.232372685183</v>
      </c>
      <c r="K984" s="4" t="s">
        <v>3672</v>
      </c>
      <c r="M984" s="4">
        <f>IFERROR(FIND(",",E984),0)</f>
        <v>6</v>
      </c>
      <c r="N984" s="4">
        <f>LEN(E984)</f>
        <v>15</v>
      </c>
    </row>
    <row r="985" spans="1:14" outlineLevel="2" x14ac:dyDescent="0.3">
      <c r="A985" t="s">
        <v>5316</v>
      </c>
      <c r="B985" t="s">
        <v>644</v>
      </c>
      <c r="C985" s="1">
        <v>26655</v>
      </c>
      <c r="D985" t="s">
        <v>1960</v>
      </c>
      <c r="E985" t="s">
        <v>2174</v>
      </c>
      <c r="F985" t="str">
        <f>IF(separador &gt; 0, LEFT(E985,separador - 1), E985)</f>
        <v>NW26 3BP</v>
      </c>
      <c r="G985" t="str">
        <f>IF(separador &gt; 0, RIGHT(E985,largo -separador - 1),"-")</f>
        <v>-</v>
      </c>
      <c r="H985" t="s">
        <v>4312</v>
      </c>
      <c r="I985" t="s">
        <v>3321</v>
      </c>
      <c r="J985" s="2">
        <v>40950.153113425928</v>
      </c>
      <c r="K985" t="s">
        <v>3672</v>
      </c>
      <c r="M985">
        <f>IFERROR(FIND(",",E985),0)</f>
        <v>0</v>
      </c>
      <c r="N985">
        <f>LEN(E985)</f>
        <v>8</v>
      </c>
    </row>
    <row r="986" spans="1:14" outlineLevel="2" x14ac:dyDescent="0.3">
      <c r="A986" s="4" t="s">
        <v>5140</v>
      </c>
      <c r="B986" s="4" t="s">
        <v>468</v>
      </c>
      <c r="C986" s="12">
        <v>26528</v>
      </c>
      <c r="D986" s="4" t="s">
        <v>1929</v>
      </c>
      <c r="E986" s="4" t="s">
        <v>1930</v>
      </c>
      <c r="F986" s="4" t="str">
        <f>IF(separador &gt; 0, LEFT(E986,separador - 1), E986)</f>
        <v>Titusville</v>
      </c>
      <c r="G986" s="4" t="str">
        <f>IF(separador &gt; 0, RIGHT(E986,largo -separador - 1),"-")</f>
        <v>FL 32780</v>
      </c>
      <c r="H986" s="4" t="s">
        <v>4136</v>
      </c>
      <c r="I986" s="4" t="s">
        <v>3149</v>
      </c>
      <c r="J986" s="13">
        <v>43241.59715277778</v>
      </c>
      <c r="K986" s="4" t="s">
        <v>3672</v>
      </c>
      <c r="M986" s="4">
        <f>IFERROR(FIND(",",E986),0)</f>
        <v>11</v>
      </c>
      <c r="N986" s="4">
        <f>LEN(E986)</f>
        <v>20</v>
      </c>
    </row>
    <row r="987" spans="1:14" outlineLevel="2" x14ac:dyDescent="0.3">
      <c r="A987" t="s">
        <v>5426</v>
      </c>
      <c r="B987" t="s">
        <v>754</v>
      </c>
      <c r="C987" s="1">
        <v>26514</v>
      </c>
      <c r="D987" t="s">
        <v>2319</v>
      </c>
      <c r="E987" t="s">
        <v>2320</v>
      </c>
      <c r="F987" t="str">
        <f>IF(separador &gt; 0, LEFT(E987,separador - 1), E987)</f>
        <v>24 Richmond Road</v>
      </c>
      <c r="G987" t="str">
        <f>IF(separador &gt; 0, RIGHT(E987,largo -separador - 1),"-")</f>
        <v>-</v>
      </c>
      <c r="H987" t="s">
        <v>4422</v>
      </c>
      <c r="I987" t="s">
        <v>3427</v>
      </c>
      <c r="J987" s="2">
        <v>43837.938159722224</v>
      </c>
      <c r="K987" t="s">
        <v>3672</v>
      </c>
      <c r="M987">
        <f>IFERROR(FIND(",",E987),0)</f>
        <v>0</v>
      </c>
      <c r="N987">
        <f>LEN(E987)</f>
        <v>16</v>
      </c>
    </row>
    <row r="988" spans="1:14" outlineLevel="2" x14ac:dyDescent="0.3">
      <c r="A988" s="4" t="s">
        <v>5548</v>
      </c>
      <c r="B988" s="4" t="s">
        <v>876</v>
      </c>
      <c r="C988" s="12">
        <v>26486</v>
      </c>
      <c r="D988" s="4" t="s">
        <v>2553</v>
      </c>
      <c r="E988" s="4" t="s">
        <v>2554</v>
      </c>
      <c r="F988" s="4" t="str">
        <f>IF(separador &gt; 0, LEFT(E988,separador - 1), E988)</f>
        <v>South Ozone Park</v>
      </c>
      <c r="G988" s="4" t="str">
        <f>IF(separador &gt; 0, RIGHT(E988,largo -separador - 1),"-")</f>
        <v>NY 11420</v>
      </c>
      <c r="H988" s="4" t="s">
        <v>4544</v>
      </c>
      <c r="I988" s="4" t="s">
        <v>3546</v>
      </c>
      <c r="J988" s="13">
        <v>38909.113298611112</v>
      </c>
      <c r="K988" s="4" t="s">
        <v>3672</v>
      </c>
      <c r="M988" s="4">
        <f>IFERROR(FIND(",",E988),0)</f>
        <v>17</v>
      </c>
      <c r="N988" s="4">
        <f>LEN(E988)</f>
        <v>26</v>
      </c>
    </row>
    <row r="989" spans="1:14" outlineLevel="2" x14ac:dyDescent="0.3">
      <c r="A989" t="s">
        <v>4950</v>
      </c>
      <c r="B989" t="s">
        <v>278</v>
      </c>
      <c r="C989" s="1">
        <v>26416</v>
      </c>
      <c r="D989" t="s">
        <v>1550</v>
      </c>
      <c r="E989" t="s">
        <v>1551</v>
      </c>
      <c r="F989" t="str">
        <f>IF(separador &gt; 0, LEFT(E989,separador - 1), E989)</f>
        <v>592 Linden Ave.</v>
      </c>
      <c r="G989" t="str">
        <f>IF(separador &gt; 0, RIGHT(E989,largo -separador - 1),"-")</f>
        <v>-</v>
      </c>
      <c r="H989" t="s">
        <v>3946</v>
      </c>
      <c r="I989" t="s">
        <v>2961</v>
      </c>
      <c r="J989" s="2">
        <v>42295.233703703707</v>
      </c>
      <c r="K989" t="s">
        <v>3672</v>
      </c>
      <c r="M989">
        <f>IFERROR(FIND(",",E989),0)</f>
        <v>0</v>
      </c>
      <c r="N989">
        <f>LEN(E989)</f>
        <v>15</v>
      </c>
    </row>
    <row r="990" spans="1:14" outlineLevel="2" x14ac:dyDescent="0.3">
      <c r="A990" s="4" t="s">
        <v>5611</v>
      </c>
      <c r="B990" s="4" t="s">
        <v>939</v>
      </c>
      <c r="C990" s="12">
        <v>26311</v>
      </c>
      <c r="D990" s="4" t="s">
        <v>2626</v>
      </c>
      <c r="E990" s="4" t="s">
        <v>2378</v>
      </c>
      <c r="F990" s="4" t="str">
        <f>IF(separador &gt; 0, LEFT(E990,separador - 1), E990)</f>
        <v>Staten Island</v>
      </c>
      <c r="G990" s="4" t="str">
        <f>IF(separador &gt; 0, RIGHT(E990,largo -separador - 1),"-")</f>
        <v>NY 10312</v>
      </c>
      <c r="H990" s="4" t="s">
        <v>4607</v>
      </c>
      <c r="I990" s="4" t="s">
        <v>3608</v>
      </c>
      <c r="J990" s="13">
        <v>40482.452800925923</v>
      </c>
      <c r="K990" s="4" t="s">
        <v>3672</v>
      </c>
      <c r="M990" s="4">
        <f>IFERROR(FIND(",",E990),0)</f>
        <v>14</v>
      </c>
      <c r="N990" s="4">
        <f>LEN(E990)</f>
        <v>23</v>
      </c>
    </row>
    <row r="991" spans="1:14" outlineLevel="2" x14ac:dyDescent="0.3">
      <c r="A991" t="s">
        <v>4812</v>
      </c>
      <c r="B991" t="s">
        <v>140</v>
      </c>
      <c r="C991" s="1">
        <v>26278</v>
      </c>
      <c r="D991" t="s">
        <v>1274</v>
      </c>
      <c r="E991" t="s">
        <v>1275</v>
      </c>
      <c r="F991" t="str">
        <f>IF(separador &gt; 0, LEFT(E991,separador - 1), E991)</f>
        <v>North Hills</v>
      </c>
      <c r="G991" t="str">
        <f>IF(separador &gt; 0, RIGHT(E991,largo -separador - 1),"-")</f>
        <v>CA 91343</v>
      </c>
      <c r="H991" t="s">
        <v>3808</v>
      </c>
      <c r="I991" t="s">
        <v>2826</v>
      </c>
      <c r="J991" s="2">
        <v>40705.103854166664</v>
      </c>
      <c r="K991" t="s">
        <v>3672</v>
      </c>
      <c r="M991">
        <f>IFERROR(FIND(",",E991),0)</f>
        <v>12</v>
      </c>
      <c r="N991">
        <f>LEN(E991)</f>
        <v>21</v>
      </c>
    </row>
    <row r="992" spans="1:14" outlineLevel="2" x14ac:dyDescent="0.3">
      <c r="A992" s="4" t="s">
        <v>5085</v>
      </c>
      <c r="B992" s="4" t="s">
        <v>413</v>
      </c>
      <c r="C992" s="12">
        <v>26208</v>
      </c>
      <c r="D992" s="4" t="s">
        <v>1819</v>
      </c>
      <c r="E992" s="4" t="s">
        <v>1820</v>
      </c>
      <c r="F992" s="4" t="str">
        <f>IF(separador &gt; 0, LEFT(E992,separador - 1), E992)</f>
        <v>88 South Brickyard Drive</v>
      </c>
      <c r="G992" s="4" t="str">
        <f>IF(separador &gt; 0, RIGHT(E992,largo -separador - 1),"-")</f>
        <v>-</v>
      </c>
      <c r="H992" s="4" t="s">
        <v>4081</v>
      </c>
      <c r="I992" s="4" t="s">
        <v>3095</v>
      </c>
      <c r="J992" s="13">
        <v>38542.45716435185</v>
      </c>
      <c r="K992" s="4" t="s">
        <v>3672</v>
      </c>
      <c r="M992" s="4">
        <f>IFERROR(FIND(",",E992),0)</f>
        <v>0</v>
      </c>
      <c r="N992" s="4">
        <f>LEN(E992)</f>
        <v>24</v>
      </c>
    </row>
    <row r="993" spans="1:14" outlineLevel="2" x14ac:dyDescent="0.3">
      <c r="A993" t="s">
        <v>5089</v>
      </c>
      <c r="B993" t="s">
        <v>417</v>
      </c>
      <c r="C993" s="1">
        <v>26115</v>
      </c>
      <c r="D993" t="s">
        <v>1827</v>
      </c>
      <c r="E993" t="s">
        <v>1828</v>
      </c>
      <c r="F993" t="str">
        <f>IF(separador &gt; 0, LEFT(E993,separador - 1), E993)</f>
        <v>8 Deerfield St.</v>
      </c>
      <c r="G993" t="str">
        <f>IF(separador &gt; 0, RIGHT(E993,largo -separador - 1),"-")</f>
        <v>-</v>
      </c>
      <c r="H993" t="s">
        <v>4085</v>
      </c>
      <c r="I993" t="s">
        <v>3099</v>
      </c>
      <c r="J993" s="2">
        <v>44308.93472222222</v>
      </c>
      <c r="K993" t="s">
        <v>3672</v>
      </c>
      <c r="M993">
        <f>IFERROR(FIND(",",E993),0)</f>
        <v>0</v>
      </c>
      <c r="N993">
        <f>LEN(E993)</f>
        <v>15</v>
      </c>
    </row>
    <row r="994" spans="1:14" outlineLevel="2" x14ac:dyDescent="0.3">
      <c r="A994" s="4" t="s">
        <v>4854</v>
      </c>
      <c r="B994" s="4" t="s">
        <v>182</v>
      </c>
      <c r="C994" s="12">
        <v>26024</v>
      </c>
      <c r="D994" s="4" t="s">
        <v>1358</v>
      </c>
      <c r="E994" s="4" t="s">
        <v>1359</v>
      </c>
      <c r="F994" s="4" t="str">
        <f>IF(separador &gt; 0, LEFT(E994,separador - 1), E994)</f>
        <v>7069 Andover St.</v>
      </c>
      <c r="G994" s="4" t="str">
        <f>IF(separador &gt; 0, RIGHT(E994,largo -separador - 1),"-")</f>
        <v>-</v>
      </c>
      <c r="H994" s="4" t="s">
        <v>3850</v>
      </c>
      <c r="I994" s="4" t="s">
        <v>2866</v>
      </c>
      <c r="J994" s="13">
        <v>41936.549351851849</v>
      </c>
      <c r="K994" s="4" t="s">
        <v>3672</v>
      </c>
      <c r="M994" s="4">
        <f>IFERROR(FIND(",",E994),0)</f>
        <v>0</v>
      </c>
      <c r="N994" s="4">
        <f>LEN(E994)</f>
        <v>16</v>
      </c>
    </row>
    <row r="995" spans="1:14" outlineLevel="2" x14ac:dyDescent="0.3">
      <c r="A995" t="s">
        <v>4907</v>
      </c>
      <c r="B995" t="s">
        <v>235</v>
      </c>
      <c r="C995" s="1">
        <v>25961</v>
      </c>
      <c r="D995" t="s">
        <v>1464</v>
      </c>
      <c r="E995" t="s">
        <v>1465</v>
      </c>
      <c r="F995" t="str">
        <f>IF(separador &gt; 0, LEFT(E995,separador - 1), E995)</f>
        <v>170 Devonshire St.</v>
      </c>
      <c r="G995" t="str">
        <f>IF(separador &gt; 0, RIGHT(E995,largo -separador - 1),"-")</f>
        <v>-</v>
      </c>
      <c r="H995" t="s">
        <v>3903</v>
      </c>
      <c r="I995" t="s">
        <v>2918</v>
      </c>
      <c r="J995" s="2">
        <v>39711.469398148147</v>
      </c>
      <c r="K995" t="s">
        <v>3672</v>
      </c>
      <c r="M995">
        <f>IFERROR(FIND(",",E995),0)</f>
        <v>0</v>
      </c>
      <c r="N995">
        <f>LEN(E995)</f>
        <v>18</v>
      </c>
    </row>
    <row r="996" spans="1:14" outlineLevel="2" x14ac:dyDescent="0.3">
      <c r="A996" s="4" t="s">
        <v>5184</v>
      </c>
      <c r="B996" s="4" t="s">
        <v>512</v>
      </c>
      <c r="C996" s="12">
        <v>25961</v>
      </c>
      <c r="D996" s="4" t="s">
        <v>1960</v>
      </c>
      <c r="E996" s="4" t="s">
        <v>1999</v>
      </c>
      <c r="F996" s="4" t="str">
        <f>IF(separador &gt; 0, LEFT(E996,separador - 1), E996)</f>
        <v>NW58 2FV</v>
      </c>
      <c r="G996" s="4" t="str">
        <f>IF(separador &gt; 0, RIGHT(E996,largo -separador - 1),"-")</f>
        <v>-</v>
      </c>
      <c r="H996" s="4" t="s">
        <v>4180</v>
      </c>
      <c r="I996" s="4" t="s">
        <v>3192</v>
      </c>
      <c r="J996" s="13">
        <v>40959.624803240738</v>
      </c>
      <c r="K996" s="4" t="s">
        <v>3672</v>
      </c>
      <c r="M996" s="4">
        <f>IFERROR(FIND(",",E996),0)</f>
        <v>0</v>
      </c>
      <c r="N996" s="4">
        <f>LEN(E996)</f>
        <v>8</v>
      </c>
    </row>
    <row r="997" spans="1:14" outlineLevel="2" x14ac:dyDescent="0.3">
      <c r="A997" t="s">
        <v>5114</v>
      </c>
      <c r="B997" t="s">
        <v>442</v>
      </c>
      <c r="C997" s="1">
        <v>25949</v>
      </c>
      <c r="D997" t="s">
        <v>1877</v>
      </c>
      <c r="E997" t="s">
        <v>1878</v>
      </c>
      <c r="F997" t="str">
        <f>IF(separador &gt; 0, LEFT(E997,separador - 1), E997)</f>
        <v>656 Old York Lane</v>
      </c>
      <c r="G997" t="str">
        <f>IF(separador &gt; 0, RIGHT(E997,largo -separador - 1),"-")</f>
        <v>-</v>
      </c>
      <c r="H997" t="s">
        <v>4110</v>
      </c>
      <c r="I997" t="s">
        <v>3123</v>
      </c>
      <c r="J997" s="2">
        <v>40493.858854166669</v>
      </c>
      <c r="K997" t="s">
        <v>3672</v>
      </c>
      <c r="M997">
        <f>IFERROR(FIND(",",E997),0)</f>
        <v>0</v>
      </c>
      <c r="N997">
        <f>LEN(E997)</f>
        <v>17</v>
      </c>
    </row>
    <row r="998" spans="1:14" outlineLevel="2" x14ac:dyDescent="0.3">
      <c r="A998" s="4" t="s">
        <v>5577</v>
      </c>
      <c r="B998" s="4" t="s">
        <v>905</v>
      </c>
      <c r="C998" s="12">
        <v>25914</v>
      </c>
      <c r="D998" s="4" t="s">
        <v>2592</v>
      </c>
      <c r="E998" s="4" t="s">
        <v>2393</v>
      </c>
      <c r="F998" s="4" t="str">
        <f>IF(separador &gt; 0, LEFT(E998,separador - 1), E998)</f>
        <v>Bronx</v>
      </c>
      <c r="G998" s="4" t="str">
        <f>IF(separador &gt; 0, RIGHT(E998,largo -separador - 1),"-")</f>
        <v>NY 10467</v>
      </c>
      <c r="H998" s="4" t="s">
        <v>4573</v>
      </c>
      <c r="I998" s="4" t="s">
        <v>3575</v>
      </c>
      <c r="J998" s="13">
        <v>43818.721898148149</v>
      </c>
      <c r="K998" s="4" t="s">
        <v>3672</v>
      </c>
      <c r="M998" s="4">
        <f>IFERROR(FIND(",",E998),0)</f>
        <v>6</v>
      </c>
      <c r="N998" s="4">
        <f>LEN(E998)</f>
        <v>15</v>
      </c>
    </row>
    <row r="999" spans="1:14" outlineLevel="2" x14ac:dyDescent="0.3">
      <c r="A999" t="s">
        <v>5610</v>
      </c>
      <c r="B999" t="s">
        <v>938</v>
      </c>
      <c r="C999" s="1">
        <v>25860</v>
      </c>
      <c r="D999" t="s">
        <v>2625</v>
      </c>
      <c r="E999" t="s">
        <v>2395</v>
      </c>
      <c r="F999" t="str">
        <f>IF(separador &gt; 0, LEFT(E999,separador - 1), E999)</f>
        <v>Brooklyn</v>
      </c>
      <c r="G999" t="str">
        <f>IF(separador &gt; 0, RIGHT(E999,largo -separador - 1),"-")</f>
        <v>NY 11206</v>
      </c>
      <c r="H999" t="s">
        <v>4606</v>
      </c>
      <c r="I999" t="s">
        <v>3607</v>
      </c>
      <c r="J999" s="2">
        <v>40280.837233796294</v>
      </c>
      <c r="K999" t="s">
        <v>3672</v>
      </c>
      <c r="M999">
        <f>IFERROR(FIND(",",E999),0)</f>
        <v>9</v>
      </c>
      <c r="N999">
        <f>LEN(E999)</f>
        <v>18</v>
      </c>
    </row>
    <row r="1000" spans="1:14" outlineLevel="2" x14ac:dyDescent="0.3">
      <c r="A1000" s="4" t="s">
        <v>4732</v>
      </c>
      <c r="B1000" s="4" t="s">
        <v>60</v>
      </c>
      <c r="C1000" s="12">
        <v>25827</v>
      </c>
      <c r="D1000" s="4" t="s">
        <v>1114</v>
      </c>
      <c r="E1000" s="4" t="s">
        <v>1115</v>
      </c>
      <c r="F1000" s="4" t="str">
        <f>IF(separador &gt; 0, LEFT(E1000,separador - 1), E1000)</f>
        <v>NORTH WEST LONDON</v>
      </c>
      <c r="G1000" s="4" t="str">
        <f>IF(separador &gt; 0, RIGHT(E1000,largo -separador - 1),"-")</f>
        <v>-</v>
      </c>
      <c r="H1000" s="4" t="s">
        <v>3728</v>
      </c>
      <c r="I1000" s="4" t="s">
        <v>2746</v>
      </c>
      <c r="J1000" s="13">
        <v>39893.562847222223</v>
      </c>
      <c r="K1000" s="4" t="s">
        <v>3672</v>
      </c>
      <c r="M1000" s="4">
        <f>IFERROR(FIND(",",E1000),0)</f>
        <v>0</v>
      </c>
      <c r="N1000" s="4">
        <f>LEN(E1000)</f>
        <v>17</v>
      </c>
    </row>
    <row r="1001" spans="1:14" outlineLevel="2" x14ac:dyDescent="0.3">
      <c r="A1001" t="s">
        <v>5244</v>
      </c>
      <c r="B1001" t="s">
        <v>572</v>
      </c>
      <c r="C1001" s="1">
        <v>25754</v>
      </c>
      <c r="D1001" t="s">
        <v>1960</v>
      </c>
      <c r="E1001" t="s">
        <v>2078</v>
      </c>
      <c r="F1001" t="str">
        <f>IF(separador &gt; 0, LEFT(E1001,separador - 1), E1001)</f>
        <v>NW17 2GU</v>
      </c>
      <c r="G1001" t="str">
        <f>IF(separador &gt; 0, RIGHT(E1001,largo -separador - 1),"-")</f>
        <v>-</v>
      </c>
      <c r="H1001" t="s">
        <v>4240</v>
      </c>
      <c r="I1001" t="s">
        <v>3252</v>
      </c>
      <c r="J1001" s="2">
        <v>39858.491122685184</v>
      </c>
      <c r="K1001" t="s">
        <v>3672</v>
      </c>
      <c r="M1001">
        <f>IFERROR(FIND(",",E1001),0)</f>
        <v>0</v>
      </c>
      <c r="N1001">
        <f>LEN(E1001)</f>
        <v>8</v>
      </c>
    </row>
    <row r="1002" spans="1:14" outlineLevel="2" x14ac:dyDescent="0.3">
      <c r="A1002" s="4" t="s">
        <v>5123</v>
      </c>
      <c r="B1002" s="4" t="s">
        <v>451</v>
      </c>
      <c r="C1002" s="12">
        <v>25743</v>
      </c>
      <c r="D1002" s="4" t="s">
        <v>1895</v>
      </c>
      <c r="E1002" s="4" t="s">
        <v>1896</v>
      </c>
      <c r="F1002" s="4" t="str">
        <f>IF(separador &gt; 0, LEFT(E1002,separador - 1), E1002)</f>
        <v>7043 Monroe Ave.</v>
      </c>
      <c r="G1002" s="4" t="str">
        <f>IF(separador &gt; 0, RIGHT(E1002,largo -separador - 1),"-")</f>
        <v>-</v>
      </c>
      <c r="H1002" s="4" t="s">
        <v>4119</v>
      </c>
      <c r="I1002" s="4" t="s">
        <v>3132</v>
      </c>
      <c r="J1002" s="13">
        <v>41060.554988425924</v>
      </c>
      <c r="K1002" s="4" t="s">
        <v>3672</v>
      </c>
      <c r="M1002" s="4">
        <f>IFERROR(FIND(",",E1002),0)</f>
        <v>0</v>
      </c>
      <c r="N1002" s="4">
        <f>LEN(E1002)</f>
        <v>16</v>
      </c>
    </row>
    <row r="1003" spans="1:14" outlineLevel="2" x14ac:dyDescent="0.3">
      <c r="A1003" t="s">
        <v>5422</v>
      </c>
      <c r="B1003" t="s">
        <v>750</v>
      </c>
      <c r="C1003" s="1">
        <v>25738</v>
      </c>
      <c r="D1003" t="s">
        <v>2314</v>
      </c>
      <c r="E1003" t="s">
        <v>1960</v>
      </c>
      <c r="F1003" t="str">
        <f>IF(separador &gt; 0, LEFT(E1003,separador - 1), E1003)</f>
        <v>London</v>
      </c>
      <c r="G1003" t="str">
        <f>IF(separador &gt; 0, RIGHT(E1003,largo -separador - 1),"-")</f>
        <v>-</v>
      </c>
      <c r="H1003" t="s">
        <v>4418</v>
      </c>
      <c r="I1003" t="s">
        <v>3424</v>
      </c>
      <c r="J1003" s="2">
        <v>41759.735949074071</v>
      </c>
      <c r="K1003" t="s">
        <v>3672</v>
      </c>
      <c r="M1003">
        <f>IFERROR(FIND(",",E1003),0)</f>
        <v>0</v>
      </c>
      <c r="N1003">
        <f>LEN(E1003)</f>
        <v>6</v>
      </c>
    </row>
    <row r="1004" spans="1:14" ht="15" outlineLevel="2" thickBot="1" x14ac:dyDescent="0.35">
      <c r="A1004" s="5" t="s">
        <v>5014</v>
      </c>
      <c r="B1004" s="5" t="s">
        <v>342</v>
      </c>
      <c r="C1004" s="14">
        <v>25596</v>
      </c>
      <c r="D1004" s="5" t="s">
        <v>1678</v>
      </c>
      <c r="E1004" s="5" t="s">
        <v>1679</v>
      </c>
      <c r="F1004" s="5" t="str">
        <f>IF(separador &gt; 0, LEFT(E1004,separador - 1), E1004)</f>
        <v>192 Birchpond Ave.</v>
      </c>
      <c r="G1004" s="5" t="str">
        <f>IF(separador &gt; 0, RIGHT(E1004,largo -separador - 1),"-")</f>
        <v>-</v>
      </c>
      <c r="H1004" s="5" t="s">
        <v>4010</v>
      </c>
      <c r="I1004" s="5" t="s">
        <v>3024</v>
      </c>
      <c r="J1004" s="15">
        <v>42421.659166666665</v>
      </c>
      <c r="K1004" s="5" t="s">
        <v>3672</v>
      </c>
      <c r="M1004" s="5">
        <f>IFERROR(FIND(",",E1004),0)</f>
        <v>0</v>
      </c>
      <c r="N1004" s="5">
        <f>LEN(E1004)</f>
        <v>18</v>
      </c>
    </row>
    <row r="1005" spans="1:14" outlineLevel="1" x14ac:dyDescent="0.3">
      <c r="A1005" s="17"/>
      <c r="B1005" s="17"/>
      <c r="C1005" s="18"/>
      <c r="D1005" s="17"/>
      <c r="E1005" s="17"/>
      <c r="F1005" s="17"/>
      <c r="G1005" s="17"/>
      <c r="H1005" s="17"/>
      <c r="I1005" s="17"/>
      <c r="J1005" s="19" t="s">
        <v>5684</v>
      </c>
      <c r="K1005" s="17">
        <f>SUBTOTAL(3,K797:K1004)</f>
        <v>208</v>
      </c>
      <c r="M1005" s="17"/>
      <c r="N1005" s="17"/>
    </row>
    <row r="1006" spans="1:14" x14ac:dyDescent="0.3">
      <c r="A1006" s="17"/>
      <c r="B1006" s="17"/>
      <c r="C1006" s="18"/>
      <c r="D1006" s="17"/>
      <c r="E1006" s="17"/>
      <c r="F1006" s="17"/>
      <c r="G1006" s="17"/>
      <c r="H1006" s="17"/>
      <c r="I1006" s="17"/>
      <c r="J1006" s="19" t="s">
        <v>5685</v>
      </c>
      <c r="K1006" s="17">
        <f>SUBTOTAL(3,K2:K1004)</f>
        <v>999</v>
      </c>
      <c r="M1006" s="17"/>
      <c r="N1006" s="17"/>
    </row>
  </sheetData>
  <autoFilter ref="A1:K1006" xr:uid="{40EF35BD-2D7E-4F62-AF09-F59FD77EE17D}"/>
  <sortState xmlns:xlrd2="http://schemas.microsoft.com/office/spreadsheetml/2017/richdata2" ref="A2:K1004">
    <sortCondition ref="K2:K1004"/>
    <sortCondition descending="1" ref="C2:C1004"/>
    <sortCondition ref="B2:B1004"/>
  </sortState>
  <phoneticPr fontId="1" type="noConversion"/>
  <dataValidations count="2">
    <dataValidation type="date" allowBlank="1" showInputMessage="1" showErrorMessage="1" errorTitle="Fecha incorrecta" error="La fecha debe ser un valor entre el 1/1/1900 y el dia de hoy. _x000a_Respetando el formato &quot;dia/mes/año&quot;, por ejemplo 31/07/1985." sqref="C2:C209 C211:C400 C402:C591 C593:C795 C797:C1004 C1007:C1048576" xr:uid="{CBE1B6F2-17E1-4AF9-A889-8B6FF74EFE8F}">
      <formula1>1</formula1>
      <formula2>TODAY()</formula2>
    </dataValidation>
    <dataValidation allowBlank="1" showInputMessage="1" showErrorMessage="1" errorTitle="Fecha incorrecta" error="La fecha debe ser un valor entre el 1/1/1900 y el dia de hoy. _x000a_Respetando el formato &quot;dia/mes/año&quot;, por ejemplo 31/07/1985." sqref="C1" xr:uid="{C60E23F4-0AA3-4A92-8905-14BC350C5FC4}"/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F9268A-F03A-49F7-B6B8-34E2335379EE}">
          <x14:formula1>
            <xm:f>Listas!$A$2:$A$6</xm:f>
          </x14:formula1>
          <xm:sqref>K2:K209 K211:K400 K402:K591 K593:K795 K797:K1004 K1007:K1048576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Listas</vt:lpstr>
      <vt:lpstr>cliente</vt:lpstr>
      <vt:lpstr>largo</vt:lpstr>
      <vt:lpstr>localidad</vt:lpstr>
      <vt:lpstr>separador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 Jurado Palomares</dc:creator>
  <cp:lastModifiedBy>Cristian Racedo</cp:lastModifiedBy>
  <dcterms:created xsi:type="dcterms:W3CDTF">2022-05-13T05:25:41Z</dcterms:created>
  <dcterms:modified xsi:type="dcterms:W3CDTF">2025-07-22T16:29:31Z</dcterms:modified>
</cp:coreProperties>
</file>