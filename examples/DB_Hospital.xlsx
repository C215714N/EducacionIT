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cacionIT\Documents\office\Excel\xlsav-mj15\examples\"/>
    </mc:Choice>
  </mc:AlternateContent>
  <xr:revisionPtr revIDLastSave="0" documentId="13_ncr:1_{EB6D8499-9774-43D8-9842-BD3A718CF9F3}" xr6:coauthVersionLast="47" xr6:coauthVersionMax="47" xr10:uidLastSave="{00000000-0000-0000-0000-000000000000}"/>
  <bookViews>
    <workbookView xWindow="-108" yWindow="-108" windowWidth="23256" windowHeight="12456" activeTab="1" xr2:uid="{5CF3F11C-861B-42E5-830C-852C2911491C}"/>
  </bookViews>
  <sheets>
    <sheet name="listas" sheetId="3" r:id="rId1"/>
    <sheet name="consultas" sheetId="8" r:id="rId2"/>
    <sheet name="Hoja1" sheetId="9" r:id="rId3"/>
  </sheets>
  <definedNames>
    <definedName name="campo_BD">#REF!</definedName>
    <definedName name="condiciones_BD">#REF!</definedName>
    <definedName name="DIAGNOSTICO">listas!$B$2:$B$4</definedName>
    <definedName name="EPS">listas!#REF!</definedName>
    <definedName name="MEDICO">listas!$D$2:$D$4</definedName>
    <definedName name="PRECIO">listas!#REF!</definedName>
    <definedName name="SALA">listas!$E$2:$E$6</definedName>
    <definedName name="SEXO">listas!#REF!</definedName>
    <definedName name="SINTOMAS">listas!$A$2:$A$6</definedName>
    <definedName name="tabla_BD">#REF!</definedName>
    <definedName name="TIPO">listas!$C$2:$C$4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3" l="1"/>
</calcChain>
</file>

<file path=xl/sharedStrings.xml><?xml version="1.0" encoding="utf-8"?>
<sst xmlns="http://schemas.openxmlformats.org/spreadsheetml/2006/main" count="353" uniqueCount="104">
  <si>
    <t>PACIENTE</t>
  </si>
  <si>
    <t>SEXO</t>
  </si>
  <si>
    <t>EDAD</t>
  </si>
  <si>
    <t>SINTOMAS</t>
  </si>
  <si>
    <t>DIAGNOSTICO</t>
  </si>
  <si>
    <t>SALA</t>
  </si>
  <si>
    <t>MEDICO</t>
  </si>
  <si>
    <t>CARLOS</t>
  </si>
  <si>
    <t>M</t>
  </si>
  <si>
    <t>DOLOR DE CABEZA</t>
  </si>
  <si>
    <t>SALUDCCOOP</t>
  </si>
  <si>
    <t>GRIPE</t>
  </si>
  <si>
    <t>URGENCIAS</t>
  </si>
  <si>
    <t>JUAN</t>
  </si>
  <si>
    <t>ANDRES</t>
  </si>
  <si>
    <t>MAREOS</t>
  </si>
  <si>
    <t>COOMEVA</t>
  </si>
  <si>
    <t>COLESTEROL ALTO</t>
  </si>
  <si>
    <t>UCI</t>
  </si>
  <si>
    <t>PEDRO</t>
  </si>
  <si>
    <t>MARIA</t>
  </si>
  <si>
    <t>F</t>
  </si>
  <si>
    <t>TOS</t>
  </si>
  <si>
    <t>SALUDTOTAL</t>
  </si>
  <si>
    <t>GENERAL</t>
  </si>
  <si>
    <t>DIARREA</t>
  </si>
  <si>
    <t>NUEVA EPS</t>
  </si>
  <si>
    <t>PARASITOS</t>
  </si>
  <si>
    <t>ROSA</t>
  </si>
  <si>
    <t>FIEBRE</t>
  </si>
  <si>
    <t>ANA</t>
  </si>
  <si>
    <t>GLORIA</t>
  </si>
  <si>
    <t>JAIRO</t>
  </si>
  <si>
    <t>ONESIMO</t>
  </si>
  <si>
    <t>BERTHA</t>
  </si>
  <si>
    <t>BELKIS</t>
  </si>
  <si>
    <t>DORIS</t>
  </si>
  <si>
    <t>MARIO</t>
  </si>
  <si>
    <t>JAMES</t>
  </si>
  <si>
    <t>DAIRO</t>
  </si>
  <si>
    <t>DEIBER</t>
  </si>
  <si>
    <t>JULIA</t>
  </si>
  <si>
    <t>JORGE</t>
  </si>
  <si>
    <t>MARTHA</t>
  </si>
  <si>
    <t>DIANA</t>
  </si>
  <si>
    <t>NANCY</t>
  </si>
  <si>
    <t>YAMILE</t>
  </si>
  <si>
    <t>SAMIR</t>
  </si>
  <si>
    <t>JHON</t>
  </si>
  <si>
    <t>CINTIA</t>
  </si>
  <si>
    <t>SINDY</t>
  </si>
  <si>
    <t>ANAIS</t>
  </si>
  <si>
    <t>HENRY</t>
  </si>
  <si>
    <t>ALBERTO</t>
  </si>
  <si>
    <t>ALEX</t>
  </si>
  <si>
    <t>FREDY</t>
  </si>
  <si>
    <t>ISABEL</t>
  </si>
  <si>
    <t>GIOVANNY</t>
  </si>
  <si>
    <t>PRECIO</t>
  </si>
  <si>
    <t>TRIAGE</t>
  </si>
  <si>
    <t>COBERTURA</t>
  </si>
  <si>
    <t>INGRESO</t>
  </si>
  <si>
    <t>ID</t>
  </si>
  <si>
    <t>c-00001</t>
  </si>
  <si>
    <t>c-00002</t>
  </si>
  <si>
    <t>c-00003</t>
  </si>
  <si>
    <t>c-00004</t>
  </si>
  <si>
    <t>c-00005</t>
  </si>
  <si>
    <t>c-00006</t>
  </si>
  <si>
    <t>c-00007</t>
  </si>
  <si>
    <t>c-00008</t>
  </si>
  <si>
    <t>c-00009</t>
  </si>
  <si>
    <t>c-00010</t>
  </si>
  <si>
    <t>c-00011</t>
  </si>
  <si>
    <t>c-00012</t>
  </si>
  <si>
    <t>c-00013</t>
  </si>
  <si>
    <t>c-00014</t>
  </si>
  <si>
    <t>c-00015</t>
  </si>
  <si>
    <t>c-00016</t>
  </si>
  <si>
    <t>c-00017</t>
  </si>
  <si>
    <t>c-00018</t>
  </si>
  <si>
    <t>c-00019</t>
  </si>
  <si>
    <t>c-00020</t>
  </si>
  <si>
    <t>c-00021</t>
  </si>
  <si>
    <t>c-00022</t>
  </si>
  <si>
    <t>c-00023</t>
  </si>
  <si>
    <t>c-00024</t>
  </si>
  <si>
    <t>c-00025</t>
  </si>
  <si>
    <t>c-00026</t>
  </si>
  <si>
    <t>c-00027</t>
  </si>
  <si>
    <t>c-00028</t>
  </si>
  <si>
    <t>c-00029</t>
  </si>
  <si>
    <t>c-00030</t>
  </si>
  <si>
    <t>c-00031</t>
  </si>
  <si>
    <t>c-00032</t>
  </si>
  <si>
    <t>c-00033</t>
  </si>
  <si>
    <t>c-00034</t>
  </si>
  <si>
    <t>c-00035</t>
  </si>
  <si>
    <t>c-00036</t>
  </si>
  <si>
    <t>c-00037</t>
  </si>
  <si>
    <t>c-00038</t>
  </si>
  <si>
    <t>fecha</t>
  </si>
  <si>
    <t>c-00039</t>
  </si>
  <si>
    <t>JUALIAN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</si>
</sst>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44" fontId="0" fillId="0" borderId="0" xfId="1" applyFont="1"/>
  </cellXfs>
  <cellStyles count="2">
    <cellStyle name="Moneda" xfId="1" builtinId="4"/>
    <cellStyle name="Normal" xfId="0" builtinId="0"/>
  </cellStyles>
  <dxfs count="8">
    <dxf>
      <font>
        <b/>
        <i val="0"/>
        <strike val="0"/>
        <u val="none"/>
        <color rgb="FF700000"/>
      </font>
    </dxf>
    <dxf>
      <font>
        <b/>
        <i val="0"/>
        <u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numFmt numFmtId="19" formatCode="d/m/yyyy"/>
    </dxf>
  </dxfs>
  <tableStyles count="0" defaultTableStyle="TableStyleMedium2" defaultPivotStyle="PivotStyleLight16"/>
  <colors>
    <mruColors>
      <color rgb="FF7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34DDA4-8519-40B4-923A-EDE5FE867756}" name="Tabla1" displayName="Tabla1" ref="A1:L40" totalsRowShown="0">
  <autoFilter ref="A1:L40" xr:uid="{B134DDA4-8519-40B4-923A-EDE5FE867756}"/>
  <sortState xmlns:xlrd2="http://schemas.microsoft.com/office/spreadsheetml/2017/richdata2" ref="A2:L40">
    <sortCondition ref="A1:A40"/>
  </sortState>
  <tableColumns count="12">
    <tableColumn id="1" xr3:uid="{99AA7C8F-6DCB-4CFA-85CD-BD50E1B58A3F}" name="ID"/>
    <tableColumn id="2" xr3:uid="{F7DB222A-6731-452F-B002-4C3840E29724}" name="PACIENTE"/>
    <tableColumn id="3" xr3:uid="{13E09185-5AD6-4474-BDD9-BA22EFD2F57C}" name="INGRESO" dataDxfId="7"/>
    <tableColumn id="4" xr3:uid="{5F4FE558-20EC-4DE9-B8A5-42BB0BBCA4D4}" name="SEXO"/>
    <tableColumn id="5" xr3:uid="{24A0AE9F-3202-4ACF-B7C2-5701E01CCB2C}" name="EDAD"/>
    <tableColumn id="6" xr3:uid="{7D0F3D24-6969-419B-973B-BDC2389701C0}" name="PRECIO" dataCellStyle="Moneda"/>
    <tableColumn id="7" xr3:uid="{41A5BD5A-8E86-40A1-B47C-5032AAE2B5F0}" name="SINTOMAS"/>
    <tableColumn id="8" xr3:uid="{2E20096E-DB19-46E0-BF3E-11A3229BBDA3}" name="COBERTURA"/>
    <tableColumn id="9" xr3:uid="{A9AB708D-BFB4-4C1F-A549-BC039BAE01E1}" name="DIAGNOSTICO"/>
    <tableColumn id="10" xr3:uid="{FF68F029-360F-471D-8F4E-355D9BD1EABA}" name="TRIAGE"/>
    <tableColumn id="11" xr3:uid="{75F0D6D0-114A-4B6C-A833-869571DD649F}" name="MEDICO"/>
    <tableColumn id="12" xr3:uid="{DA9780B9-F3DB-4795-A8C3-04181101BF4E}" name="SALA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381DE-419E-49E7-BAAE-587C6A346F77}">
  <dimension ref="A1:I6"/>
  <sheetViews>
    <sheetView workbookViewId="0">
      <selection activeCell="E7" sqref="E7"/>
    </sheetView>
  </sheetViews>
  <sheetFormatPr baseColWidth="10" defaultRowHeight="14.4" x14ac:dyDescent="0.3"/>
  <cols>
    <col min="1" max="1" width="5.21875" bestFit="1" customWidth="1"/>
    <col min="2" max="2" width="16.109375" bestFit="1" customWidth="1"/>
    <col min="3" max="3" width="16.44140625" bestFit="1" customWidth="1"/>
    <col min="4" max="4" width="12.33203125" bestFit="1" customWidth="1"/>
    <col min="5" max="5" width="16.44140625" bestFit="1" customWidth="1"/>
    <col min="6" max="6" width="10.6640625" bestFit="1" customWidth="1"/>
    <col min="7" max="7" width="7.88671875" bestFit="1" customWidth="1"/>
    <col min="8" max="8" width="5" bestFit="1" customWidth="1"/>
  </cols>
  <sheetData>
    <row r="1" spans="1:9" x14ac:dyDescent="0.3">
      <c r="A1" t="s">
        <v>1</v>
      </c>
      <c r="B1" t="s">
        <v>58</v>
      </c>
      <c r="C1" t="s">
        <v>3</v>
      </c>
      <c r="D1" t="s">
        <v>60</v>
      </c>
      <c r="E1" t="s">
        <v>4</v>
      </c>
      <c r="F1" t="s">
        <v>59</v>
      </c>
      <c r="G1" t="s">
        <v>6</v>
      </c>
      <c r="H1" t="s">
        <v>5</v>
      </c>
      <c r="I1" t="s">
        <v>101</v>
      </c>
    </row>
    <row r="2" spans="1:9" x14ac:dyDescent="0.3">
      <c r="A2" t="s">
        <v>8</v>
      </c>
      <c r="B2" s="2">
        <v>25000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>
        <v>102</v>
      </c>
      <c r="I2" s="1">
        <v>1</v>
      </c>
    </row>
    <row r="3" spans="1:9" x14ac:dyDescent="0.3">
      <c r="A3" t="s">
        <v>21</v>
      </c>
      <c r="B3" s="2">
        <v>45000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>
        <v>105</v>
      </c>
      <c r="I3" s="1">
        <f ca="1">TODAY()</f>
        <v>45867</v>
      </c>
    </row>
    <row r="4" spans="1:9" x14ac:dyDescent="0.3">
      <c r="B4" s="2">
        <v>35000</v>
      </c>
      <c r="C4" t="s">
        <v>22</v>
      </c>
      <c r="D4" t="s">
        <v>23</v>
      </c>
      <c r="E4" t="s">
        <v>27</v>
      </c>
      <c r="F4" t="s">
        <v>24</v>
      </c>
      <c r="G4" t="s">
        <v>20</v>
      </c>
      <c r="H4">
        <v>104</v>
      </c>
    </row>
    <row r="5" spans="1:9" x14ac:dyDescent="0.3">
      <c r="B5" s="2">
        <v>38000</v>
      </c>
      <c r="C5" t="s">
        <v>25</v>
      </c>
      <c r="D5" t="s">
        <v>26</v>
      </c>
      <c r="H5">
        <v>101</v>
      </c>
    </row>
    <row r="6" spans="1:9" x14ac:dyDescent="0.3">
      <c r="B6" s="2">
        <v>75000</v>
      </c>
      <c r="C6" t="s">
        <v>29</v>
      </c>
      <c r="H6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2E698-4EBC-4E52-B264-A2B38521B0E9}">
  <dimension ref="A1:L40"/>
  <sheetViews>
    <sheetView tabSelected="1" workbookViewId="0">
      <selection activeCell="E1" sqref="E1:E1048576"/>
    </sheetView>
  </sheetViews>
  <sheetFormatPr baseColWidth="10" defaultRowHeight="14.4" x14ac:dyDescent="0.3"/>
  <cols>
    <col min="1" max="1" width="7.5546875" bestFit="1" customWidth="1"/>
    <col min="2" max="2" width="11.5546875" bestFit="1" customWidth="1"/>
    <col min="3" max="3" width="10.77734375" style="1" bestFit="1" customWidth="1"/>
    <col min="4" max="4" width="7.6640625" bestFit="1" customWidth="1"/>
    <col min="5" max="5" width="7.88671875" bestFit="1" customWidth="1"/>
    <col min="6" max="6" width="23.109375" style="2" customWidth="1"/>
    <col min="7" max="7" width="16.44140625" bestFit="1" customWidth="1"/>
    <col min="8" max="8" width="13.5546875" bestFit="1" customWidth="1"/>
    <col min="9" max="9" width="16.44140625" bestFit="1" customWidth="1"/>
    <col min="10" max="10" width="10.88671875" bestFit="1" customWidth="1"/>
    <col min="11" max="11" width="10.21875" bestFit="1" customWidth="1"/>
    <col min="12" max="12" width="7.5546875" bestFit="1" customWidth="1"/>
  </cols>
  <sheetData>
    <row r="1" spans="1:12" x14ac:dyDescent="0.3">
      <c r="A1" t="s">
        <v>62</v>
      </c>
      <c r="B1" t="s">
        <v>0</v>
      </c>
      <c r="C1" s="1" t="s">
        <v>61</v>
      </c>
      <c r="D1" t="s">
        <v>1</v>
      </c>
      <c r="E1" t="s">
        <v>2</v>
      </c>
      <c r="F1" s="2" t="s">
        <v>58</v>
      </c>
      <c r="G1" t="s">
        <v>3</v>
      </c>
      <c r="H1" t="s">
        <v>60</v>
      </c>
      <c r="I1" t="s">
        <v>4</v>
      </c>
      <c r="J1" t="s">
        <v>59</v>
      </c>
      <c r="K1" t="s">
        <v>6</v>
      </c>
      <c r="L1" t="s">
        <v>5</v>
      </c>
    </row>
    <row r="2" spans="1:12" x14ac:dyDescent="0.3">
      <c r="A2" t="s">
        <v>63</v>
      </c>
      <c r="B2" t="s">
        <v>7</v>
      </c>
      <c r="C2" s="1">
        <v>45113</v>
      </c>
      <c r="D2" t="s">
        <v>8</v>
      </c>
      <c r="E2">
        <v>25</v>
      </c>
      <c r="F2" s="2">
        <v>25000</v>
      </c>
      <c r="G2" t="s">
        <v>9</v>
      </c>
      <c r="H2" t="s">
        <v>10</v>
      </c>
      <c r="I2" t="s">
        <v>11</v>
      </c>
      <c r="J2" t="s">
        <v>12</v>
      </c>
      <c r="K2" t="s">
        <v>13</v>
      </c>
      <c r="L2">
        <v>102</v>
      </c>
    </row>
    <row r="3" spans="1:12" x14ac:dyDescent="0.3">
      <c r="A3" t="s">
        <v>64</v>
      </c>
      <c r="B3" t="s">
        <v>14</v>
      </c>
      <c r="C3" s="1">
        <v>45144</v>
      </c>
      <c r="D3" t="s">
        <v>8</v>
      </c>
      <c r="E3">
        <v>24</v>
      </c>
      <c r="F3" s="2">
        <v>45000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>
        <v>105</v>
      </c>
    </row>
    <row r="4" spans="1:12" x14ac:dyDescent="0.3">
      <c r="A4" t="s">
        <v>65</v>
      </c>
      <c r="B4" t="s">
        <v>20</v>
      </c>
      <c r="C4" s="1">
        <v>45173</v>
      </c>
      <c r="D4" t="s">
        <v>21</v>
      </c>
      <c r="E4">
        <v>28</v>
      </c>
      <c r="F4" s="2">
        <v>35000</v>
      </c>
      <c r="G4" t="s">
        <v>22</v>
      </c>
      <c r="H4" t="s">
        <v>23</v>
      </c>
      <c r="I4" t="s">
        <v>11</v>
      </c>
      <c r="J4" t="s">
        <v>24</v>
      </c>
      <c r="K4" t="s">
        <v>20</v>
      </c>
      <c r="L4">
        <v>104</v>
      </c>
    </row>
    <row r="5" spans="1:12" x14ac:dyDescent="0.3">
      <c r="A5" t="s">
        <v>66</v>
      </c>
      <c r="B5" t="s">
        <v>13</v>
      </c>
      <c r="C5" s="1">
        <v>45113</v>
      </c>
      <c r="D5" t="s">
        <v>8</v>
      </c>
      <c r="E5">
        <v>31</v>
      </c>
      <c r="F5" s="2">
        <v>25000</v>
      </c>
      <c r="G5" t="s">
        <v>25</v>
      </c>
      <c r="H5" t="s">
        <v>26</v>
      </c>
      <c r="I5" t="s">
        <v>27</v>
      </c>
      <c r="J5" t="s">
        <v>12</v>
      </c>
      <c r="K5" t="s">
        <v>13</v>
      </c>
      <c r="L5">
        <v>101</v>
      </c>
    </row>
    <row r="6" spans="1:12" x14ac:dyDescent="0.3">
      <c r="A6" t="s">
        <v>67</v>
      </c>
      <c r="B6" t="s">
        <v>28</v>
      </c>
      <c r="C6" s="1">
        <v>45144</v>
      </c>
      <c r="D6" t="s">
        <v>21</v>
      </c>
      <c r="E6">
        <v>35</v>
      </c>
      <c r="F6" s="2">
        <v>45000</v>
      </c>
      <c r="G6" t="s">
        <v>29</v>
      </c>
      <c r="H6" t="s">
        <v>10</v>
      </c>
      <c r="I6" t="s">
        <v>11</v>
      </c>
      <c r="J6" t="s">
        <v>18</v>
      </c>
      <c r="K6" t="s">
        <v>19</v>
      </c>
      <c r="L6">
        <v>102</v>
      </c>
    </row>
    <row r="7" spans="1:12" x14ac:dyDescent="0.3">
      <c r="A7" t="s">
        <v>68</v>
      </c>
      <c r="B7" t="s">
        <v>19</v>
      </c>
      <c r="C7" s="1">
        <v>45173</v>
      </c>
      <c r="D7" t="s">
        <v>8</v>
      </c>
      <c r="E7">
        <v>45</v>
      </c>
      <c r="F7" s="2">
        <v>38000</v>
      </c>
      <c r="G7" t="s">
        <v>9</v>
      </c>
      <c r="H7" t="s">
        <v>16</v>
      </c>
      <c r="I7" t="s">
        <v>11</v>
      </c>
      <c r="J7" t="s">
        <v>24</v>
      </c>
      <c r="K7" t="s">
        <v>20</v>
      </c>
      <c r="L7">
        <v>105</v>
      </c>
    </row>
    <row r="8" spans="1:12" x14ac:dyDescent="0.3">
      <c r="A8" t="s">
        <v>69</v>
      </c>
      <c r="B8" t="s">
        <v>30</v>
      </c>
      <c r="C8" s="1">
        <v>45113</v>
      </c>
      <c r="D8" t="s">
        <v>21</v>
      </c>
      <c r="E8">
        <v>23</v>
      </c>
      <c r="F8" s="2">
        <v>45000</v>
      </c>
      <c r="G8" t="s">
        <v>15</v>
      </c>
      <c r="H8" t="s">
        <v>23</v>
      </c>
      <c r="I8" t="s">
        <v>17</v>
      </c>
      <c r="J8" t="s">
        <v>12</v>
      </c>
      <c r="K8" t="s">
        <v>13</v>
      </c>
      <c r="L8">
        <v>104</v>
      </c>
    </row>
    <row r="9" spans="1:12" x14ac:dyDescent="0.3">
      <c r="A9" t="s">
        <v>70</v>
      </c>
      <c r="B9" t="s">
        <v>31</v>
      </c>
      <c r="C9" s="1">
        <v>45144</v>
      </c>
      <c r="D9" t="s">
        <v>21</v>
      </c>
      <c r="E9">
        <v>25</v>
      </c>
      <c r="F9" s="2">
        <v>75000</v>
      </c>
      <c r="G9" t="s">
        <v>22</v>
      </c>
      <c r="H9" t="s">
        <v>26</v>
      </c>
      <c r="I9" t="s">
        <v>11</v>
      </c>
      <c r="J9" t="s">
        <v>18</v>
      </c>
      <c r="K9" t="s">
        <v>19</v>
      </c>
      <c r="L9">
        <v>101</v>
      </c>
    </row>
    <row r="10" spans="1:12" x14ac:dyDescent="0.3">
      <c r="A10" t="s">
        <v>71</v>
      </c>
      <c r="B10" t="s">
        <v>32</v>
      </c>
      <c r="C10" s="1">
        <v>45173</v>
      </c>
      <c r="D10" t="s">
        <v>8</v>
      </c>
      <c r="E10">
        <v>28</v>
      </c>
      <c r="F10" s="2">
        <v>35000</v>
      </c>
      <c r="G10" t="s">
        <v>25</v>
      </c>
      <c r="H10" t="s">
        <v>10</v>
      </c>
      <c r="I10" t="s">
        <v>27</v>
      </c>
      <c r="J10" t="s">
        <v>24</v>
      </c>
      <c r="K10" t="s">
        <v>20</v>
      </c>
      <c r="L10">
        <v>102</v>
      </c>
    </row>
    <row r="11" spans="1:12" x14ac:dyDescent="0.3">
      <c r="A11" t="s">
        <v>72</v>
      </c>
      <c r="B11" t="s">
        <v>33</v>
      </c>
      <c r="C11" s="1">
        <v>45113</v>
      </c>
      <c r="D11" t="s">
        <v>8</v>
      </c>
      <c r="E11">
        <v>29</v>
      </c>
      <c r="F11" s="2">
        <v>45000</v>
      </c>
      <c r="G11" t="s">
        <v>29</v>
      </c>
      <c r="H11" t="s">
        <v>16</v>
      </c>
      <c r="I11" t="s">
        <v>11</v>
      </c>
      <c r="J11" t="s">
        <v>12</v>
      </c>
      <c r="K11" t="s">
        <v>13</v>
      </c>
      <c r="L11">
        <v>105</v>
      </c>
    </row>
    <row r="12" spans="1:12" x14ac:dyDescent="0.3">
      <c r="A12" t="s">
        <v>73</v>
      </c>
      <c r="B12" t="s">
        <v>34</v>
      </c>
      <c r="C12" s="1">
        <v>45144</v>
      </c>
      <c r="D12" t="s">
        <v>21</v>
      </c>
      <c r="E12">
        <v>31</v>
      </c>
      <c r="F12" s="2">
        <v>35000</v>
      </c>
      <c r="G12" t="s">
        <v>9</v>
      </c>
      <c r="H12" t="s">
        <v>23</v>
      </c>
      <c r="I12" t="s">
        <v>11</v>
      </c>
      <c r="J12" t="s">
        <v>18</v>
      </c>
      <c r="K12" t="s">
        <v>19</v>
      </c>
      <c r="L12">
        <v>104</v>
      </c>
    </row>
    <row r="13" spans="1:12" x14ac:dyDescent="0.3">
      <c r="A13" t="s">
        <v>74</v>
      </c>
      <c r="B13" t="s">
        <v>35</v>
      </c>
      <c r="C13" s="1">
        <v>45173</v>
      </c>
      <c r="D13" t="s">
        <v>21</v>
      </c>
      <c r="E13">
        <v>45</v>
      </c>
      <c r="F13" s="2">
        <v>35000</v>
      </c>
      <c r="G13" t="s">
        <v>15</v>
      </c>
      <c r="H13" t="s">
        <v>26</v>
      </c>
      <c r="I13" t="s">
        <v>17</v>
      </c>
      <c r="J13" t="s">
        <v>24</v>
      </c>
      <c r="K13" t="s">
        <v>20</v>
      </c>
      <c r="L13">
        <v>101</v>
      </c>
    </row>
    <row r="14" spans="1:12" x14ac:dyDescent="0.3">
      <c r="A14" t="s">
        <v>75</v>
      </c>
      <c r="B14" t="s">
        <v>36</v>
      </c>
      <c r="C14" s="1">
        <v>45113</v>
      </c>
      <c r="D14" t="s">
        <v>21</v>
      </c>
      <c r="E14">
        <v>42</v>
      </c>
      <c r="F14" s="2">
        <v>25000</v>
      </c>
      <c r="G14" t="s">
        <v>22</v>
      </c>
      <c r="H14" t="s">
        <v>10</v>
      </c>
      <c r="I14" t="s">
        <v>11</v>
      </c>
      <c r="J14" t="s">
        <v>12</v>
      </c>
      <c r="K14" t="s">
        <v>13</v>
      </c>
      <c r="L14">
        <v>102</v>
      </c>
    </row>
    <row r="15" spans="1:12" x14ac:dyDescent="0.3">
      <c r="A15" t="s">
        <v>76</v>
      </c>
      <c r="B15" t="s">
        <v>37</v>
      </c>
      <c r="C15" s="1">
        <v>45144</v>
      </c>
      <c r="D15" t="s">
        <v>8</v>
      </c>
      <c r="E15">
        <v>35</v>
      </c>
      <c r="F15" s="2">
        <v>45000</v>
      </c>
      <c r="G15" t="s">
        <v>25</v>
      </c>
      <c r="H15" t="s">
        <v>16</v>
      </c>
      <c r="I15" t="s">
        <v>27</v>
      </c>
      <c r="J15" t="s">
        <v>18</v>
      </c>
      <c r="K15" t="s">
        <v>19</v>
      </c>
      <c r="L15">
        <v>105</v>
      </c>
    </row>
    <row r="16" spans="1:12" x14ac:dyDescent="0.3">
      <c r="A16" t="s">
        <v>77</v>
      </c>
      <c r="B16" t="s">
        <v>38</v>
      </c>
      <c r="C16" s="1">
        <v>45173</v>
      </c>
      <c r="D16" t="s">
        <v>8</v>
      </c>
      <c r="E16">
        <v>42</v>
      </c>
      <c r="F16" s="2">
        <v>38000</v>
      </c>
      <c r="G16" t="s">
        <v>29</v>
      </c>
      <c r="H16" t="s">
        <v>23</v>
      </c>
      <c r="I16" t="s">
        <v>11</v>
      </c>
      <c r="J16" t="s">
        <v>24</v>
      </c>
      <c r="K16" t="s">
        <v>20</v>
      </c>
      <c r="L16">
        <v>104</v>
      </c>
    </row>
    <row r="17" spans="1:12" x14ac:dyDescent="0.3">
      <c r="A17" t="s">
        <v>78</v>
      </c>
      <c r="B17" t="s">
        <v>39</v>
      </c>
      <c r="C17" s="1">
        <v>45113</v>
      </c>
      <c r="D17" t="s">
        <v>8</v>
      </c>
      <c r="E17">
        <v>45</v>
      </c>
      <c r="F17" s="2">
        <v>45000</v>
      </c>
      <c r="G17" t="s">
        <v>9</v>
      </c>
      <c r="H17" t="s">
        <v>26</v>
      </c>
      <c r="I17" t="s">
        <v>11</v>
      </c>
      <c r="J17" t="s">
        <v>12</v>
      </c>
      <c r="K17" t="s">
        <v>13</v>
      </c>
      <c r="L17">
        <v>101</v>
      </c>
    </row>
    <row r="18" spans="1:12" x14ac:dyDescent="0.3">
      <c r="A18" t="s">
        <v>79</v>
      </c>
      <c r="B18" t="s">
        <v>40</v>
      </c>
      <c r="C18" s="1">
        <v>45144</v>
      </c>
      <c r="D18" t="s">
        <v>8</v>
      </c>
      <c r="E18">
        <v>35</v>
      </c>
      <c r="F18" s="2">
        <v>75000</v>
      </c>
      <c r="G18" t="s">
        <v>15</v>
      </c>
      <c r="H18" t="s">
        <v>10</v>
      </c>
      <c r="I18" t="s">
        <v>17</v>
      </c>
      <c r="J18" t="s">
        <v>18</v>
      </c>
      <c r="K18" t="s">
        <v>19</v>
      </c>
      <c r="L18">
        <v>102</v>
      </c>
    </row>
    <row r="19" spans="1:12" x14ac:dyDescent="0.3">
      <c r="A19" t="s">
        <v>80</v>
      </c>
      <c r="B19" t="s">
        <v>41</v>
      </c>
      <c r="C19" s="1">
        <v>45173</v>
      </c>
      <c r="D19" t="s">
        <v>21</v>
      </c>
      <c r="E19">
        <v>36</v>
      </c>
      <c r="F19" s="2">
        <v>35000</v>
      </c>
      <c r="G19" t="s">
        <v>22</v>
      </c>
      <c r="H19" t="s">
        <v>16</v>
      </c>
      <c r="I19" t="s">
        <v>11</v>
      </c>
      <c r="J19" t="s">
        <v>24</v>
      </c>
      <c r="K19" t="s">
        <v>20</v>
      </c>
      <c r="L19">
        <v>105</v>
      </c>
    </row>
    <row r="20" spans="1:12" x14ac:dyDescent="0.3">
      <c r="A20" t="s">
        <v>81</v>
      </c>
      <c r="B20" t="s">
        <v>42</v>
      </c>
      <c r="C20" s="1">
        <v>45113</v>
      </c>
      <c r="D20" t="s">
        <v>8</v>
      </c>
      <c r="E20">
        <v>25</v>
      </c>
      <c r="F20" s="2">
        <v>45000</v>
      </c>
      <c r="G20" t="s">
        <v>25</v>
      </c>
      <c r="H20" t="s">
        <v>23</v>
      </c>
      <c r="I20" t="s">
        <v>27</v>
      </c>
      <c r="J20" t="s">
        <v>12</v>
      </c>
      <c r="K20" t="s">
        <v>13</v>
      </c>
      <c r="L20">
        <v>104</v>
      </c>
    </row>
    <row r="21" spans="1:12" x14ac:dyDescent="0.3">
      <c r="A21" t="s">
        <v>82</v>
      </c>
      <c r="B21" t="s">
        <v>43</v>
      </c>
      <c r="C21" s="1">
        <v>45144</v>
      </c>
      <c r="D21" t="s">
        <v>21</v>
      </c>
      <c r="E21">
        <v>27</v>
      </c>
      <c r="F21" s="2">
        <v>35000</v>
      </c>
      <c r="G21" t="s">
        <v>29</v>
      </c>
      <c r="H21" t="s">
        <v>26</v>
      </c>
      <c r="I21" t="s">
        <v>11</v>
      </c>
      <c r="J21" t="s">
        <v>18</v>
      </c>
      <c r="K21" t="s">
        <v>19</v>
      </c>
      <c r="L21">
        <v>101</v>
      </c>
    </row>
    <row r="22" spans="1:12" x14ac:dyDescent="0.3">
      <c r="A22" t="s">
        <v>83</v>
      </c>
      <c r="B22" t="s">
        <v>44</v>
      </c>
      <c r="C22" s="1">
        <v>45173</v>
      </c>
      <c r="D22" t="s">
        <v>21</v>
      </c>
      <c r="E22">
        <v>28</v>
      </c>
      <c r="F22" s="2">
        <v>25000</v>
      </c>
      <c r="G22" t="s">
        <v>29</v>
      </c>
      <c r="H22" t="s">
        <v>10</v>
      </c>
      <c r="I22" t="s">
        <v>17</v>
      </c>
      <c r="J22" t="s">
        <v>24</v>
      </c>
      <c r="K22" t="s">
        <v>20</v>
      </c>
      <c r="L22">
        <v>103</v>
      </c>
    </row>
    <row r="23" spans="1:12" x14ac:dyDescent="0.3">
      <c r="A23" t="s">
        <v>84</v>
      </c>
      <c r="B23" t="s">
        <v>45</v>
      </c>
      <c r="C23" s="1">
        <v>45113</v>
      </c>
      <c r="D23" t="s">
        <v>21</v>
      </c>
      <c r="E23">
        <v>23</v>
      </c>
      <c r="F23" s="2">
        <v>45000</v>
      </c>
      <c r="G23" t="s">
        <v>15</v>
      </c>
      <c r="H23" t="s">
        <v>23</v>
      </c>
      <c r="I23" t="s">
        <v>17</v>
      </c>
      <c r="J23" t="s">
        <v>12</v>
      </c>
      <c r="K23" t="s">
        <v>13</v>
      </c>
      <c r="L23">
        <v>104</v>
      </c>
    </row>
    <row r="24" spans="1:12" x14ac:dyDescent="0.3">
      <c r="A24" t="s">
        <v>85</v>
      </c>
      <c r="B24" t="s">
        <v>46</v>
      </c>
      <c r="C24" s="1">
        <v>45144</v>
      </c>
      <c r="D24" t="s">
        <v>21</v>
      </c>
      <c r="E24">
        <v>25</v>
      </c>
      <c r="F24" s="2">
        <v>75000</v>
      </c>
      <c r="G24" t="s">
        <v>22</v>
      </c>
      <c r="H24" t="s">
        <v>26</v>
      </c>
      <c r="I24" t="s">
        <v>11</v>
      </c>
      <c r="J24" t="s">
        <v>18</v>
      </c>
      <c r="K24" t="s">
        <v>19</v>
      </c>
      <c r="L24">
        <v>101</v>
      </c>
    </row>
    <row r="25" spans="1:12" x14ac:dyDescent="0.3">
      <c r="A25" t="s">
        <v>86</v>
      </c>
      <c r="B25" t="s">
        <v>47</v>
      </c>
      <c r="C25" s="1">
        <v>45173</v>
      </c>
      <c r="D25" t="s">
        <v>8</v>
      </c>
      <c r="E25">
        <v>28</v>
      </c>
      <c r="F25" s="2">
        <v>35000</v>
      </c>
      <c r="G25" t="s">
        <v>25</v>
      </c>
      <c r="H25" t="s">
        <v>10</v>
      </c>
      <c r="I25" t="s">
        <v>27</v>
      </c>
      <c r="J25" t="s">
        <v>24</v>
      </c>
      <c r="K25" t="s">
        <v>20</v>
      </c>
      <c r="L25">
        <v>102</v>
      </c>
    </row>
    <row r="26" spans="1:12" x14ac:dyDescent="0.3">
      <c r="A26" t="s">
        <v>87</v>
      </c>
      <c r="B26" t="s">
        <v>48</v>
      </c>
      <c r="C26" s="1">
        <v>45113</v>
      </c>
      <c r="D26" t="s">
        <v>8</v>
      </c>
      <c r="E26">
        <v>29</v>
      </c>
      <c r="F26" s="2">
        <v>45000</v>
      </c>
      <c r="G26" t="s">
        <v>9</v>
      </c>
      <c r="H26" t="s">
        <v>16</v>
      </c>
      <c r="I26" t="s">
        <v>11</v>
      </c>
      <c r="J26" t="s">
        <v>12</v>
      </c>
      <c r="K26" t="s">
        <v>13</v>
      </c>
      <c r="L26">
        <v>105</v>
      </c>
    </row>
    <row r="27" spans="1:12" x14ac:dyDescent="0.3">
      <c r="A27" t="s">
        <v>88</v>
      </c>
      <c r="B27" t="s">
        <v>49</v>
      </c>
      <c r="C27" s="1">
        <v>45144</v>
      </c>
      <c r="D27" t="s">
        <v>21</v>
      </c>
      <c r="E27">
        <v>31</v>
      </c>
      <c r="F27" s="2">
        <v>35000</v>
      </c>
      <c r="G27" t="s">
        <v>9</v>
      </c>
      <c r="H27" t="s">
        <v>23</v>
      </c>
      <c r="I27" t="s">
        <v>11</v>
      </c>
      <c r="J27" t="s">
        <v>18</v>
      </c>
      <c r="K27" t="s">
        <v>19</v>
      </c>
      <c r="L27">
        <v>104</v>
      </c>
    </row>
    <row r="28" spans="1:12" x14ac:dyDescent="0.3">
      <c r="A28" t="s">
        <v>89</v>
      </c>
      <c r="B28" t="s">
        <v>50</v>
      </c>
      <c r="C28" s="1">
        <v>45173</v>
      </c>
      <c r="D28" t="s">
        <v>21</v>
      </c>
      <c r="E28">
        <v>45</v>
      </c>
      <c r="F28" s="2">
        <v>35000</v>
      </c>
      <c r="G28" t="s">
        <v>15</v>
      </c>
      <c r="H28" t="s">
        <v>26</v>
      </c>
      <c r="I28" t="s">
        <v>17</v>
      </c>
      <c r="J28" t="s">
        <v>24</v>
      </c>
      <c r="K28" t="s">
        <v>20</v>
      </c>
      <c r="L28">
        <v>101</v>
      </c>
    </row>
    <row r="29" spans="1:12" x14ac:dyDescent="0.3">
      <c r="A29" t="s">
        <v>90</v>
      </c>
      <c r="B29" t="s">
        <v>50</v>
      </c>
      <c r="C29" s="1">
        <v>45173</v>
      </c>
      <c r="D29" t="s">
        <v>21</v>
      </c>
      <c r="E29">
        <v>45</v>
      </c>
      <c r="F29" s="2">
        <v>35000</v>
      </c>
      <c r="G29" t="s">
        <v>15</v>
      </c>
      <c r="H29" t="s">
        <v>26</v>
      </c>
      <c r="I29" t="s">
        <v>17</v>
      </c>
      <c r="J29" t="s">
        <v>24</v>
      </c>
      <c r="K29" t="s">
        <v>20</v>
      </c>
      <c r="L29">
        <v>101</v>
      </c>
    </row>
    <row r="30" spans="1:12" x14ac:dyDescent="0.3">
      <c r="A30" t="s">
        <v>91</v>
      </c>
      <c r="B30" t="s">
        <v>50</v>
      </c>
      <c r="C30" s="1">
        <v>45173</v>
      </c>
      <c r="D30" t="s">
        <v>21</v>
      </c>
      <c r="E30">
        <v>45</v>
      </c>
      <c r="F30" s="2">
        <v>35000</v>
      </c>
      <c r="G30" t="s">
        <v>15</v>
      </c>
      <c r="H30" t="s">
        <v>26</v>
      </c>
      <c r="I30" t="s">
        <v>17</v>
      </c>
      <c r="J30" t="s">
        <v>24</v>
      </c>
      <c r="K30" t="s">
        <v>20</v>
      </c>
      <c r="L30">
        <v>101</v>
      </c>
    </row>
    <row r="31" spans="1:12" x14ac:dyDescent="0.3">
      <c r="A31" t="s">
        <v>92</v>
      </c>
      <c r="B31" t="s">
        <v>51</v>
      </c>
      <c r="C31" s="1">
        <v>45113</v>
      </c>
      <c r="D31" t="s">
        <v>21</v>
      </c>
      <c r="E31">
        <v>42</v>
      </c>
      <c r="F31" s="2">
        <v>25000</v>
      </c>
      <c r="G31" t="s">
        <v>22</v>
      </c>
      <c r="H31" t="s">
        <v>10</v>
      </c>
      <c r="I31" t="s">
        <v>11</v>
      </c>
      <c r="J31" t="s">
        <v>12</v>
      </c>
      <c r="K31" t="s">
        <v>13</v>
      </c>
      <c r="L31">
        <v>102</v>
      </c>
    </row>
    <row r="32" spans="1:12" x14ac:dyDescent="0.3">
      <c r="A32" t="s">
        <v>93</v>
      </c>
      <c r="B32" t="s">
        <v>52</v>
      </c>
      <c r="C32" s="1">
        <v>45144</v>
      </c>
      <c r="D32" t="s">
        <v>8</v>
      </c>
      <c r="E32">
        <v>35</v>
      </c>
      <c r="F32" s="2">
        <v>45000</v>
      </c>
      <c r="G32" t="s">
        <v>25</v>
      </c>
      <c r="H32" t="s">
        <v>16</v>
      </c>
      <c r="I32" t="s">
        <v>27</v>
      </c>
      <c r="J32" t="s">
        <v>18</v>
      </c>
      <c r="K32" t="s">
        <v>19</v>
      </c>
      <c r="L32">
        <v>105</v>
      </c>
    </row>
    <row r="33" spans="1:12" x14ac:dyDescent="0.3">
      <c r="A33" t="s">
        <v>94</v>
      </c>
      <c r="B33" t="s">
        <v>53</v>
      </c>
      <c r="C33" s="1">
        <v>45173</v>
      </c>
      <c r="D33" t="s">
        <v>8</v>
      </c>
      <c r="E33">
        <v>42</v>
      </c>
      <c r="F33" s="2">
        <v>38000</v>
      </c>
      <c r="G33" t="s">
        <v>29</v>
      </c>
      <c r="H33" t="s">
        <v>23</v>
      </c>
      <c r="I33" t="s">
        <v>11</v>
      </c>
      <c r="J33" t="s">
        <v>24</v>
      </c>
      <c r="K33" t="s">
        <v>20</v>
      </c>
      <c r="L33">
        <v>104</v>
      </c>
    </row>
    <row r="34" spans="1:12" x14ac:dyDescent="0.3">
      <c r="A34" t="s">
        <v>95</v>
      </c>
      <c r="B34" t="s">
        <v>54</v>
      </c>
      <c r="C34" s="1">
        <v>45113</v>
      </c>
      <c r="D34" t="s">
        <v>8</v>
      </c>
      <c r="E34">
        <v>45</v>
      </c>
      <c r="F34" s="2">
        <v>45000</v>
      </c>
      <c r="G34" t="s">
        <v>9</v>
      </c>
      <c r="H34" t="s">
        <v>26</v>
      </c>
      <c r="I34" t="s">
        <v>11</v>
      </c>
      <c r="J34" t="s">
        <v>12</v>
      </c>
      <c r="K34" t="s">
        <v>13</v>
      </c>
      <c r="L34">
        <v>101</v>
      </c>
    </row>
    <row r="35" spans="1:12" x14ac:dyDescent="0.3">
      <c r="A35" t="s">
        <v>96</v>
      </c>
      <c r="B35" t="s">
        <v>55</v>
      </c>
      <c r="C35" s="1">
        <v>45144</v>
      </c>
      <c r="D35" t="s">
        <v>8</v>
      </c>
      <c r="E35">
        <v>35</v>
      </c>
      <c r="F35" s="2">
        <v>75000</v>
      </c>
      <c r="G35" t="s">
        <v>15</v>
      </c>
      <c r="H35" t="s">
        <v>10</v>
      </c>
      <c r="I35" t="s">
        <v>17</v>
      </c>
      <c r="J35" t="s">
        <v>18</v>
      </c>
      <c r="K35" t="s">
        <v>19</v>
      </c>
      <c r="L35">
        <v>102</v>
      </c>
    </row>
    <row r="36" spans="1:12" x14ac:dyDescent="0.3">
      <c r="A36" t="s">
        <v>97</v>
      </c>
      <c r="B36" t="s">
        <v>56</v>
      </c>
      <c r="C36" s="1">
        <v>45173</v>
      </c>
      <c r="D36" t="s">
        <v>21</v>
      </c>
      <c r="E36">
        <v>36</v>
      </c>
      <c r="F36" s="2">
        <v>35000</v>
      </c>
      <c r="G36" t="s">
        <v>22</v>
      </c>
      <c r="H36" t="s">
        <v>16</v>
      </c>
      <c r="I36" t="s">
        <v>11</v>
      </c>
      <c r="J36" t="s">
        <v>24</v>
      </c>
      <c r="K36" t="s">
        <v>20</v>
      </c>
      <c r="L36">
        <v>105</v>
      </c>
    </row>
    <row r="37" spans="1:12" x14ac:dyDescent="0.3">
      <c r="A37" t="s">
        <v>98</v>
      </c>
      <c r="B37" t="s">
        <v>57</v>
      </c>
      <c r="C37" s="1">
        <v>45113</v>
      </c>
      <c r="D37" t="s">
        <v>8</v>
      </c>
      <c r="E37">
        <v>25</v>
      </c>
      <c r="F37" s="2">
        <v>45000</v>
      </c>
      <c r="G37" t="s">
        <v>25</v>
      </c>
      <c r="H37" t="s">
        <v>23</v>
      </c>
      <c r="I37" t="s">
        <v>27</v>
      </c>
      <c r="J37" t="s">
        <v>12</v>
      </c>
      <c r="K37" t="s">
        <v>13</v>
      </c>
      <c r="L37">
        <v>104</v>
      </c>
    </row>
    <row r="38" spans="1:12" x14ac:dyDescent="0.3">
      <c r="A38" t="s">
        <v>99</v>
      </c>
      <c r="B38" t="s">
        <v>37</v>
      </c>
      <c r="C38" s="1">
        <v>45358</v>
      </c>
      <c r="D38" t="s">
        <v>8</v>
      </c>
      <c r="E38">
        <v>45</v>
      </c>
      <c r="F38" s="2">
        <v>25000</v>
      </c>
      <c r="G38" t="s">
        <v>22</v>
      </c>
      <c r="H38" t="s">
        <v>26</v>
      </c>
      <c r="I38" t="s">
        <v>11</v>
      </c>
      <c r="J38" t="s">
        <v>12</v>
      </c>
      <c r="K38" t="s">
        <v>20</v>
      </c>
      <c r="L38">
        <v>102</v>
      </c>
    </row>
    <row r="39" spans="1:12" x14ac:dyDescent="0.3">
      <c r="A39" t="s">
        <v>100</v>
      </c>
      <c r="B39" t="s">
        <v>28</v>
      </c>
      <c r="C39" s="1">
        <v>45387</v>
      </c>
      <c r="D39" t="s">
        <v>21</v>
      </c>
      <c r="E39">
        <v>60</v>
      </c>
      <c r="F39" s="2">
        <v>35000</v>
      </c>
      <c r="G39" t="s">
        <v>9</v>
      </c>
      <c r="H39" t="s">
        <v>10</v>
      </c>
      <c r="I39" t="s">
        <v>11</v>
      </c>
      <c r="J39" t="s">
        <v>24</v>
      </c>
      <c r="K39" t="s">
        <v>19</v>
      </c>
      <c r="L39">
        <v>103</v>
      </c>
    </row>
    <row r="40" spans="1:12" x14ac:dyDescent="0.3">
      <c r="A40" t="s">
        <v>102</v>
      </c>
      <c r="B40" t="s">
        <v>103</v>
      </c>
      <c r="C40" s="1">
        <v>45417</v>
      </c>
      <c r="D40" t="s">
        <v>8</v>
      </c>
      <c r="E40">
        <v>28</v>
      </c>
      <c r="F40" s="2">
        <v>38000</v>
      </c>
      <c r="G40" t="s">
        <v>9</v>
      </c>
      <c r="H40" t="s">
        <v>26</v>
      </c>
      <c r="I40" t="s">
        <v>11</v>
      </c>
      <c r="J40" t="s">
        <v>12</v>
      </c>
      <c r="K40" t="s">
        <v>20</v>
      </c>
      <c r="L40">
        <v>105</v>
      </c>
    </row>
  </sheetData>
  <phoneticPr fontId="2" type="noConversion"/>
  <conditionalFormatting sqref="E1:E1048576">
    <cfRule type="colorScale" priority="4">
      <colorScale>
        <cfvo type="min"/>
        <cfvo type="num" val="40"/>
        <cfvo type="max"/>
        <color rgb="FF63BE7B"/>
        <color rgb="FFFFEB84"/>
        <color rgb="FFF8696B"/>
      </colorScale>
    </cfRule>
  </conditionalFormatting>
  <conditionalFormatting sqref="F1:F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{AE4990FA-269D-4362-BE0F-3FD19842482F}</x14:id>
        </ext>
      </extLst>
    </cfRule>
  </conditionalFormatting>
  <conditionalFormatting sqref="A1:L1048576">
    <cfRule type="expression" dxfId="0" priority="1">
      <formula>$J1="URGENCIAS"</formula>
    </cfRule>
  </conditionalFormatting>
  <dataValidations count="1">
    <dataValidation type="whole" allowBlank="1" showInputMessage="1" showErrorMessage="1" errorTitle="Edad Incorrecta" error="La edad debe ser un numero entre 0 y 125, ya que esa es la espectativa de vida maxima para una persona." sqref="E1:E1048576" xr:uid="{EE96439B-E9EB-4765-8D86-DED383CB78E1}">
      <formula1>0</formula1>
      <formula2>125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990FA-269D-4362-BE0F-3FD1984248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0">
        <x14:dataValidation type="date" allowBlank="1" showErrorMessage="1" errorTitle="Fecha Invalida" error="Ingrese una fecha, entre el 1/1/1900 y el dia de hoy, utilizando solamente digitos." promptTitle="Fecha de Entrada" prompt="Coloque 2 digitos para el dia, 2 para el mes y 4 para el año" xr:uid="{31EDAB3F-5E85-4EA7-BA72-471BCCD27BCF}">
          <x14:formula1>
            <xm:f>listas!I1048550</xm:f>
          </x14:formula1>
          <x14:formula2>
            <xm:f>listas!I1048551</xm:f>
          </x14:formula2>
          <xm:sqref>C1:C40 C1048575:C1048576</xm:sqref>
        </x14:dataValidation>
        <x14:dataValidation type="date" allowBlank="1" showErrorMessage="1" errorTitle="Fecha Invalida" error="Ingrese una fecha, entre el 1/1/1900 y el dia de hoy, utilizando solamente digitos." promptTitle="Fecha de Entrada" prompt="Coloque 2 digitos para el dia, 2 para el mes y 4 para el año" xr:uid="{CA368849-D3EA-46DB-89D4-E06309F7A9FA}">
          <x14:formula1>
            <xm:f>listas!I15</xm:f>
          </x14:formula1>
          <x14:formula2>
            <xm:f>listas!I16</xm:f>
          </x14:formula2>
          <xm:sqref>C41:C1048574</xm:sqref>
        </x14:dataValidation>
        <x14:dataValidation type="list" allowBlank="1" showInputMessage="1" showErrorMessage="1" errorTitle="Valor Invalido" error="El valor ingresado no corresponde a ninguno registrado. Seleccione una opcion de la lista." xr:uid="{D5A90D0B-4A1D-432E-BFA1-E7ED00B95F80}">
          <x14:formula1>
            <xm:f>listas!$A$2:$A$3</xm:f>
          </x14:formula1>
          <xm:sqref>D1:D1048576</xm:sqref>
        </x14:dataValidation>
        <x14:dataValidation type="list" allowBlank="1" showInputMessage="1" showErrorMessage="1" errorTitle="Precio incorrecto" error="El valor ingresado no corresponde a ninguno registrado. Seleccione una opcion de la lista." xr:uid="{7BBDC28D-1DF4-4F1C-8E07-85046A1631B0}">
          <x14:formula1>
            <xm:f>listas!$B$2:$B$6</xm:f>
          </x14:formula1>
          <xm:sqref>F1:F1048576</xm:sqref>
        </x14:dataValidation>
        <x14:dataValidation type="list" allowBlank="1" showInputMessage="1" showErrorMessage="1" errorTitle="Sintoma no Identificado" error="El valor ingresado no corresponde a ninguno registrado. Seleccione una opcion de la lista." xr:uid="{4FED9069-70C1-4A3A-9A1C-B9A5260732BE}">
          <x14:formula1>
            <xm:f>listas!$C$2:$C$6</xm:f>
          </x14:formula1>
          <xm:sqref>G1:G1048576</xm:sqref>
        </x14:dataValidation>
        <x14:dataValidation type="list" allowBlank="1" showInputMessage="1" showErrorMessage="1" errorTitle="Cobertura no encontrada" error="El valor ingresado no corresponde a ninguno registrado. Seleccione una opcion de la lista." xr:uid="{71D2AADC-582B-4A99-917F-9362C7FB6584}">
          <x14:formula1>
            <xm:f>listas!$D$2:$D$5</xm:f>
          </x14:formula1>
          <xm:sqref>H1:H1048576</xm:sqref>
        </x14:dataValidation>
        <x14:dataValidation type="list" allowBlank="1" showInputMessage="1" showErrorMessage="1" errorTitle="Diagnostico no identificado" error="El valor ingresado no corresponde a ninguno registrado. Seleccione una opcion de la lista." xr:uid="{356F00AE-EFED-48EC-8540-CD4577EE135F}">
          <x14:formula1>
            <xm:f>listas!$E$2:$E$4</xm:f>
          </x14:formula1>
          <xm:sqref>I1:I1048576</xm:sqref>
        </x14:dataValidation>
        <x14:dataValidation type="list" allowBlank="1" showInputMessage="1" showErrorMessage="1" errorTitle="TRIAGE incorrecto" error="El valor ingresado no corresponde a ninguno registrado. Seleccione una opcion de la lista." xr:uid="{1C4BA8B4-2739-409C-9000-35403E9F4DD5}">
          <x14:formula1>
            <xm:f>listas!$F$2:$F$4</xm:f>
          </x14:formula1>
          <xm:sqref>J1:J1048576</xm:sqref>
        </x14:dataValidation>
        <x14:dataValidation type="list" allowBlank="1" showInputMessage="1" showErrorMessage="1" errorTitle="Medico desconocido" error="El valor ingresado no corresponde a ninguno registrado. Seleccione una opcion de la lista." xr:uid="{6F179CAC-9D93-44D6-892B-CF465BB861B3}">
          <x14:formula1>
            <xm:f>listas!$G$2:$G$4</xm:f>
          </x14:formula1>
          <xm:sqref>K1:K1048576</xm:sqref>
        </x14:dataValidation>
        <x14:dataValidation type="list" allowBlank="1" showInputMessage="1" showErrorMessage="1" errorTitle="Sala Invalida" error="El valor ingresado no corresponde a ninguno registrado. Seleccione una opcion de la lista." xr:uid="{581B522C-794E-4D05-9717-89056DED3B5F}">
          <x14:formula1>
            <xm:f>listas!$H$2:$H$6</xm:f>
          </x14:formula1>
          <xm:sqref>L1:L1048576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0BC9B-C519-4231-9893-1AC3D47BC141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5</vt:i4>
      </vt:variant>
    </vt:vector>
  </HeadingPairs>
  <TitlesOfParts>
    <vt:vector size="8" baseType="lpstr">
      <vt:lpstr>listas</vt:lpstr>
      <vt:lpstr>consultas</vt:lpstr>
      <vt:lpstr>Hoja1</vt:lpstr>
      <vt:lpstr>DIAGNOSTICO</vt:lpstr>
      <vt:lpstr>MEDICO</vt:lpstr>
      <vt:lpstr>SALA</vt:lpstr>
      <vt:lpstr>SINTOMAS</vt:lpstr>
      <vt:lpstr>TIPO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Racedo</dc:creator>
  <cp:lastModifiedBy>Cristian Racedo</cp:lastModifiedBy>
  <dcterms:created xsi:type="dcterms:W3CDTF">2024-07-03T21:04:48Z</dcterms:created>
  <dcterms:modified xsi:type="dcterms:W3CDTF">2025-07-29T20:14:43Z</dcterms:modified>
</cp:coreProperties>
</file>