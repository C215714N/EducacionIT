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cionIT\Documents\office\Excel\xls-mj15\examples\"/>
    </mc:Choice>
  </mc:AlternateContent>
  <xr:revisionPtr revIDLastSave="0" documentId="13_ncr:1_{30A3AA43-0965-484F-88A4-DE87CEE6109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ventas" sheetId="6" r:id="rId1"/>
    <sheet name="listas" sheetId="7" state="hidden" r:id="rId2"/>
    <sheet name="estadisticas" sheetId="8" r:id="rId3"/>
  </sheets>
  <definedNames>
    <definedName name="_xlnm._FilterDatabase" localSheetId="0" hidden="1">ventas!$A:$G</definedName>
    <definedName name="ventas_año">ventas!$B:$B</definedName>
    <definedName name="ventas_producto">ventas!$C:$C</definedName>
    <definedName name="ventas_region">ventas!$G:$G</definedName>
    <definedName name="ventas_total">ventas!$F:$F</definedName>
    <definedName name="ventas_unidades">ventas!$E:$E</definedName>
    <definedName name="ventas_vendedor">ventas!$D:$D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8" l="1"/>
  <c r="J6" i="8"/>
  <c r="AU6" i="8"/>
  <c r="BI6" i="8"/>
  <c r="BB6" i="8"/>
  <c r="BH30" i="8"/>
  <c r="BG30" i="8"/>
  <c r="BF30" i="8"/>
  <c r="BE30" i="8"/>
  <c r="BD30" i="8"/>
  <c r="BA30" i="8"/>
  <c r="AZ30" i="8"/>
  <c r="AY30" i="8"/>
  <c r="AX30" i="8"/>
  <c r="AW30" i="8"/>
  <c r="BH29" i="8"/>
  <c r="BG29" i="8"/>
  <c r="BF29" i="8"/>
  <c r="BE29" i="8"/>
  <c r="BD29" i="8"/>
  <c r="BA29" i="8"/>
  <c r="AZ29" i="8"/>
  <c r="AY29" i="8"/>
  <c r="AX29" i="8"/>
  <c r="AW29" i="8"/>
  <c r="BB29" i="8" s="1"/>
  <c r="BH28" i="8"/>
  <c r="BG28" i="8"/>
  <c r="BF28" i="8"/>
  <c r="BE28" i="8"/>
  <c r="BD28" i="8"/>
  <c r="BA28" i="8"/>
  <c r="AZ28" i="8"/>
  <c r="AY28" i="8"/>
  <c r="AX28" i="8"/>
  <c r="AW28" i="8"/>
  <c r="BH27" i="8"/>
  <c r="BG27" i="8"/>
  <c r="BF27" i="8"/>
  <c r="BE27" i="8"/>
  <c r="BD27" i="8"/>
  <c r="BA27" i="8"/>
  <c r="AZ27" i="8"/>
  <c r="AY27" i="8"/>
  <c r="AY31" i="8" s="1"/>
  <c r="AX27" i="8"/>
  <c r="AW27" i="8"/>
  <c r="BH26" i="8"/>
  <c r="BG26" i="8"/>
  <c r="BF26" i="8"/>
  <c r="BE26" i="8"/>
  <c r="BD26" i="8"/>
  <c r="BA26" i="8"/>
  <c r="AZ26" i="8"/>
  <c r="AY26" i="8"/>
  <c r="AX26" i="8"/>
  <c r="AW26" i="8"/>
  <c r="AW18" i="8"/>
  <c r="AX18" i="8"/>
  <c r="AY18" i="8"/>
  <c r="AZ18" i="8"/>
  <c r="BA18" i="8"/>
  <c r="AW19" i="8"/>
  <c r="AX19" i="8"/>
  <c r="AY19" i="8"/>
  <c r="AZ19" i="8"/>
  <c r="BA19" i="8"/>
  <c r="AW20" i="8"/>
  <c r="AX20" i="8"/>
  <c r="AY20" i="8"/>
  <c r="AZ20" i="8"/>
  <c r="BA20" i="8"/>
  <c r="BA23" i="8" s="1"/>
  <c r="AW21" i="8"/>
  <c r="AX21" i="8"/>
  <c r="AY21" i="8"/>
  <c r="AZ21" i="8"/>
  <c r="BA21" i="8"/>
  <c r="AW22" i="8"/>
  <c r="AX22" i="8"/>
  <c r="AY22" i="8"/>
  <c r="AZ22" i="8"/>
  <c r="BA22" i="8"/>
  <c r="BB22" i="8"/>
  <c r="AX17" i="8"/>
  <c r="AY17" i="8"/>
  <c r="AZ17" i="8"/>
  <c r="BA17" i="8"/>
  <c r="AW17" i="8"/>
  <c r="BD22" i="8"/>
  <c r="BE22" i="8"/>
  <c r="BF22" i="8"/>
  <c r="BG22" i="8"/>
  <c r="BH22" i="8"/>
  <c r="BI22" i="8"/>
  <c r="BH21" i="8"/>
  <c r="BG21" i="8"/>
  <c r="BF21" i="8"/>
  <c r="BE21" i="8"/>
  <c r="BD21" i="8"/>
  <c r="BH20" i="8"/>
  <c r="BG20" i="8"/>
  <c r="BF20" i="8"/>
  <c r="BE20" i="8"/>
  <c r="BD20" i="8"/>
  <c r="BH19" i="8"/>
  <c r="BG19" i="8"/>
  <c r="BF19" i="8"/>
  <c r="BE19" i="8"/>
  <c r="BD19" i="8"/>
  <c r="BH18" i="8"/>
  <c r="BG18" i="8"/>
  <c r="BF18" i="8"/>
  <c r="BE18" i="8"/>
  <c r="BD18" i="8"/>
  <c r="BH17" i="8"/>
  <c r="BG17" i="8"/>
  <c r="BG23" i="8" s="1"/>
  <c r="BF17" i="8"/>
  <c r="BE17" i="8"/>
  <c r="BD17" i="8"/>
  <c r="BH13" i="8"/>
  <c r="BG13" i="8"/>
  <c r="BF13" i="8"/>
  <c r="BE13" i="8"/>
  <c r="BD13" i="8"/>
  <c r="BA13" i="8"/>
  <c r="AZ13" i="8"/>
  <c r="AY13" i="8"/>
  <c r="AX13" i="8"/>
  <c r="AW13" i="8"/>
  <c r="BH12" i="8"/>
  <c r="BG12" i="8"/>
  <c r="BF12" i="8"/>
  <c r="BE12" i="8"/>
  <c r="BD12" i="8"/>
  <c r="BA12" i="8"/>
  <c r="AZ12" i="8"/>
  <c r="AY12" i="8"/>
  <c r="AX12" i="8"/>
  <c r="AW12" i="8"/>
  <c r="BH11" i="8"/>
  <c r="BG11" i="8"/>
  <c r="BF11" i="8"/>
  <c r="BE11" i="8"/>
  <c r="BD11" i="8"/>
  <c r="BA11" i="8"/>
  <c r="AZ11" i="8"/>
  <c r="AY11" i="8"/>
  <c r="AX11" i="8"/>
  <c r="AW11" i="8"/>
  <c r="BH10" i="8"/>
  <c r="BG10" i="8"/>
  <c r="BF10" i="8"/>
  <c r="BE10" i="8"/>
  <c r="BD10" i="8"/>
  <c r="BA10" i="8"/>
  <c r="AZ10" i="8"/>
  <c r="AY10" i="8"/>
  <c r="AX10" i="8"/>
  <c r="AW10" i="8"/>
  <c r="BH9" i="8"/>
  <c r="BG9" i="8"/>
  <c r="BF9" i="8"/>
  <c r="BE9" i="8"/>
  <c r="BD9" i="8"/>
  <c r="BA9" i="8"/>
  <c r="AZ9" i="8"/>
  <c r="AY9" i="8"/>
  <c r="AX9" i="8"/>
  <c r="AW9" i="8"/>
  <c r="BE6" i="8"/>
  <c r="BF6" i="8"/>
  <c r="BG6" i="8"/>
  <c r="BH6" i="8"/>
  <c r="BD6" i="8"/>
  <c r="AX6" i="8"/>
  <c r="AY6" i="8"/>
  <c r="AZ6" i="8"/>
  <c r="BA6" i="8"/>
  <c r="AW6" i="8"/>
  <c r="BA5" i="8"/>
  <c r="AZ5" i="8"/>
  <c r="AY5" i="8"/>
  <c r="AX5" i="8"/>
  <c r="AW5" i="8"/>
  <c r="BA4" i="8" a="1"/>
  <c r="BA4" i="8" s="1"/>
  <c r="AZ4" i="8" a="1"/>
  <c r="AZ4" i="8" s="1"/>
  <c r="AY4" i="8" a="1"/>
  <c r="AY4" i="8" s="1"/>
  <c r="AX4" i="8" a="1"/>
  <c r="AX4" i="8" s="1"/>
  <c r="AW4" i="8" a="1"/>
  <c r="AW4" i="8" s="1"/>
  <c r="BA3" i="8"/>
  <c r="AZ3" i="8"/>
  <c r="AY3" i="8"/>
  <c r="AX3" i="8"/>
  <c r="AW3" i="8"/>
  <c r="BA2" i="8"/>
  <c r="AZ2" i="8"/>
  <c r="AY2" i="8"/>
  <c r="AX2" i="8"/>
  <c r="AW2" i="8"/>
  <c r="BH5" i="8"/>
  <c r="BG5" i="8"/>
  <c r="BF5" i="8"/>
  <c r="BE5" i="8"/>
  <c r="BD5" i="8"/>
  <c r="BH4" i="8" a="1"/>
  <c r="BH4" i="8" s="1"/>
  <c r="BG4" i="8" a="1"/>
  <c r="BG4" i="8" s="1"/>
  <c r="BF4" i="8" a="1"/>
  <c r="BF4" i="8" s="1"/>
  <c r="BE4" i="8" a="1"/>
  <c r="BE4" i="8" s="1"/>
  <c r="BD4" i="8" a="1"/>
  <c r="BD4" i="8" s="1"/>
  <c r="BH3" i="8"/>
  <c r="BG3" i="8"/>
  <c r="BF3" i="8"/>
  <c r="BE3" i="8"/>
  <c r="BD3" i="8"/>
  <c r="BH2" i="8"/>
  <c r="BG2" i="8"/>
  <c r="BF2" i="8"/>
  <c r="BE2" i="8"/>
  <c r="BD2" i="8"/>
  <c r="P38" i="8"/>
  <c r="O38" i="8"/>
  <c r="N38" i="8"/>
  <c r="M38" i="8"/>
  <c r="L38" i="8"/>
  <c r="P37" i="8"/>
  <c r="O37" i="8"/>
  <c r="N37" i="8"/>
  <c r="M37" i="8"/>
  <c r="L37" i="8"/>
  <c r="P36" i="8"/>
  <c r="O36" i="8"/>
  <c r="N36" i="8"/>
  <c r="M36" i="8"/>
  <c r="L36" i="8"/>
  <c r="P35" i="8"/>
  <c r="O35" i="8"/>
  <c r="N35" i="8"/>
  <c r="M35" i="8"/>
  <c r="L35" i="8"/>
  <c r="P34" i="8"/>
  <c r="O34" i="8"/>
  <c r="N34" i="8"/>
  <c r="M34" i="8"/>
  <c r="L34" i="8"/>
  <c r="P30" i="8"/>
  <c r="O30" i="8"/>
  <c r="N30" i="8"/>
  <c r="M30" i="8"/>
  <c r="L30" i="8"/>
  <c r="Q30" i="8" s="1"/>
  <c r="P29" i="8"/>
  <c r="O29" i="8"/>
  <c r="N29" i="8"/>
  <c r="M29" i="8"/>
  <c r="L29" i="8"/>
  <c r="P28" i="8"/>
  <c r="O28" i="8"/>
  <c r="N28" i="8"/>
  <c r="M28" i="8"/>
  <c r="L28" i="8"/>
  <c r="P27" i="8"/>
  <c r="O27" i="8"/>
  <c r="N27" i="8"/>
  <c r="M27" i="8"/>
  <c r="L27" i="8"/>
  <c r="P26" i="8"/>
  <c r="O26" i="8"/>
  <c r="N26" i="8"/>
  <c r="M26" i="8"/>
  <c r="L26" i="8"/>
  <c r="I38" i="8"/>
  <c r="H38" i="8"/>
  <c r="G38" i="8"/>
  <c r="F38" i="8"/>
  <c r="E38" i="8"/>
  <c r="I37" i="8"/>
  <c r="H37" i="8"/>
  <c r="G37" i="8"/>
  <c r="F37" i="8"/>
  <c r="E37" i="8"/>
  <c r="I36" i="8"/>
  <c r="H36" i="8"/>
  <c r="G36" i="8"/>
  <c r="F36" i="8"/>
  <c r="E36" i="8"/>
  <c r="I35" i="8"/>
  <c r="H35" i="8"/>
  <c r="G35" i="8"/>
  <c r="F35" i="8"/>
  <c r="E35" i="8"/>
  <c r="I34" i="8"/>
  <c r="H34" i="8"/>
  <c r="G34" i="8"/>
  <c r="F34" i="8"/>
  <c r="E34" i="8"/>
  <c r="F26" i="8"/>
  <c r="G26" i="8"/>
  <c r="H26" i="8"/>
  <c r="I26" i="8"/>
  <c r="F27" i="8"/>
  <c r="G27" i="8"/>
  <c r="H27" i="8"/>
  <c r="I27" i="8"/>
  <c r="F28" i="8"/>
  <c r="G28" i="8"/>
  <c r="H28" i="8"/>
  <c r="I28" i="8"/>
  <c r="F29" i="8"/>
  <c r="G29" i="8"/>
  <c r="H29" i="8"/>
  <c r="I29" i="8"/>
  <c r="F30" i="8"/>
  <c r="G30" i="8"/>
  <c r="H30" i="8"/>
  <c r="I30" i="8"/>
  <c r="E27" i="8"/>
  <c r="E28" i="8"/>
  <c r="E29" i="8"/>
  <c r="E30" i="8"/>
  <c r="E26" i="8"/>
  <c r="AJ10" i="8"/>
  <c r="AJ11" i="8"/>
  <c r="AJ12" i="8"/>
  <c r="AJ13" i="8"/>
  <c r="AJ9" i="8"/>
  <c r="L18" i="8"/>
  <c r="M18" i="8"/>
  <c r="N18" i="8"/>
  <c r="O18" i="8"/>
  <c r="P18" i="8"/>
  <c r="L19" i="8"/>
  <c r="M19" i="8"/>
  <c r="N19" i="8"/>
  <c r="O19" i="8"/>
  <c r="P19" i="8"/>
  <c r="L20" i="8"/>
  <c r="M20" i="8"/>
  <c r="N20" i="8"/>
  <c r="O20" i="8"/>
  <c r="P20" i="8"/>
  <c r="L21" i="8"/>
  <c r="M21" i="8"/>
  <c r="N21" i="8"/>
  <c r="O21" i="8"/>
  <c r="P21" i="8"/>
  <c r="L22" i="8"/>
  <c r="M22" i="8"/>
  <c r="N22" i="8"/>
  <c r="O22" i="8"/>
  <c r="P22" i="8"/>
  <c r="M17" i="8"/>
  <c r="N17" i="8"/>
  <c r="O17" i="8"/>
  <c r="P17" i="8"/>
  <c r="L17" i="8"/>
  <c r="E18" i="8"/>
  <c r="F18" i="8"/>
  <c r="G18" i="8"/>
  <c r="H18" i="8"/>
  <c r="I18" i="8"/>
  <c r="E19" i="8"/>
  <c r="F19" i="8"/>
  <c r="G19" i="8"/>
  <c r="H19" i="8"/>
  <c r="I19" i="8"/>
  <c r="E20" i="8"/>
  <c r="F20" i="8"/>
  <c r="G20" i="8"/>
  <c r="H20" i="8"/>
  <c r="I20" i="8"/>
  <c r="E21" i="8"/>
  <c r="F21" i="8"/>
  <c r="G21" i="8"/>
  <c r="H21" i="8"/>
  <c r="I21" i="8"/>
  <c r="E22" i="8"/>
  <c r="F22" i="8"/>
  <c r="G22" i="8"/>
  <c r="H22" i="8"/>
  <c r="I22" i="8"/>
  <c r="F17" i="8"/>
  <c r="G17" i="8"/>
  <c r="H17" i="8"/>
  <c r="I17" i="8"/>
  <c r="E17" i="8"/>
  <c r="P6" i="8"/>
  <c r="O6" i="8"/>
  <c r="N6" i="8"/>
  <c r="M6" i="8"/>
  <c r="L6" i="8"/>
  <c r="P5" i="8"/>
  <c r="O5" i="8"/>
  <c r="N5" i="8"/>
  <c r="M5" i="8"/>
  <c r="L5" i="8"/>
  <c r="P4" i="8" a="1"/>
  <c r="P4" i="8" s="1"/>
  <c r="O4" i="8" a="1"/>
  <c r="O4" i="8" s="1"/>
  <c r="N4" i="8" a="1"/>
  <c r="N4" i="8" s="1"/>
  <c r="M4" i="8" a="1"/>
  <c r="M4" i="8" s="1"/>
  <c r="L4" i="8" a="1"/>
  <c r="L4" i="8" s="1"/>
  <c r="P3" i="8"/>
  <c r="O3" i="8"/>
  <c r="N3" i="8"/>
  <c r="M3" i="8"/>
  <c r="L3" i="8"/>
  <c r="P2" i="8"/>
  <c r="O2" i="8"/>
  <c r="N2" i="8"/>
  <c r="M2" i="8"/>
  <c r="L2" i="8"/>
  <c r="I6" i="8"/>
  <c r="H6" i="8"/>
  <c r="G6" i="8"/>
  <c r="F6" i="8"/>
  <c r="E6" i="8"/>
  <c r="I5" i="8"/>
  <c r="H5" i="8"/>
  <c r="G5" i="8"/>
  <c r="F5" i="8"/>
  <c r="E5" i="8"/>
  <c r="I4" i="8" a="1"/>
  <c r="I4" i="8" s="1"/>
  <c r="H4" i="8" a="1"/>
  <c r="H4" i="8" s="1"/>
  <c r="G4" i="8" a="1"/>
  <c r="G4" i="8" s="1"/>
  <c r="F4" i="8" a="1"/>
  <c r="F4" i="8" s="1"/>
  <c r="E4" i="8" a="1"/>
  <c r="E4" i="8" s="1"/>
  <c r="I3" i="8"/>
  <c r="H3" i="8"/>
  <c r="G3" i="8"/>
  <c r="F3" i="8"/>
  <c r="E3" i="8"/>
  <c r="F2" i="8"/>
  <c r="G2" i="8"/>
  <c r="H2" i="8"/>
  <c r="I2" i="8"/>
  <c r="E2" i="8"/>
  <c r="S2" i="8"/>
  <c r="T2" i="8"/>
  <c r="U2" i="8"/>
  <c r="V2" i="8"/>
  <c r="S3" i="8"/>
  <c r="T3" i="8"/>
  <c r="U3" i="8"/>
  <c r="V3" i="8"/>
  <c r="S4" i="8" a="1"/>
  <c r="S4" i="8" s="1"/>
  <c r="T4" i="8" a="1"/>
  <c r="T4" i="8" s="1"/>
  <c r="U4" i="8" a="1"/>
  <c r="U4" i="8" s="1"/>
  <c r="V4" i="8" a="1"/>
  <c r="V4" i="8" s="1"/>
  <c r="S5" i="8"/>
  <c r="T5" i="8"/>
  <c r="U5" i="8"/>
  <c r="V5" i="8"/>
  <c r="S6" i="8"/>
  <c r="T6" i="8"/>
  <c r="U6" i="8"/>
  <c r="V6" i="8"/>
  <c r="S9" i="8"/>
  <c r="T9" i="8"/>
  <c r="U9" i="8"/>
  <c r="V9" i="8"/>
  <c r="S10" i="8"/>
  <c r="T10" i="8"/>
  <c r="U10" i="8"/>
  <c r="U14" i="8" s="1"/>
  <c r="V10" i="8"/>
  <c r="V14" i="8" s="1"/>
  <c r="S11" i="8"/>
  <c r="S14" i="8" s="1"/>
  <c r="T11" i="8"/>
  <c r="U11" i="8"/>
  <c r="V11" i="8"/>
  <c r="S12" i="8"/>
  <c r="T12" i="8"/>
  <c r="U12" i="8"/>
  <c r="V12" i="8"/>
  <c r="S13" i="8"/>
  <c r="T13" i="8"/>
  <c r="U13" i="8"/>
  <c r="V13" i="8"/>
  <c r="S26" i="8"/>
  <c r="T26" i="8"/>
  <c r="U26" i="8"/>
  <c r="V26" i="8"/>
  <c r="S27" i="8"/>
  <c r="T27" i="8"/>
  <c r="U27" i="8"/>
  <c r="V27" i="8"/>
  <c r="S28" i="8"/>
  <c r="T28" i="8"/>
  <c r="U28" i="8"/>
  <c r="V28" i="8"/>
  <c r="S29" i="8"/>
  <c r="T29" i="8"/>
  <c r="U29" i="8"/>
  <c r="V29" i="8"/>
  <c r="S30" i="8"/>
  <c r="T30" i="8"/>
  <c r="U30" i="8"/>
  <c r="V30" i="8"/>
  <c r="S34" i="8"/>
  <c r="T34" i="8"/>
  <c r="U34" i="8"/>
  <c r="V34" i="8"/>
  <c r="S35" i="8"/>
  <c r="T35" i="8"/>
  <c r="U35" i="8"/>
  <c r="V35" i="8"/>
  <c r="S36" i="8"/>
  <c r="T36" i="8"/>
  <c r="U36" i="8"/>
  <c r="V36" i="8"/>
  <c r="S37" i="8"/>
  <c r="T37" i="8"/>
  <c r="U37" i="8"/>
  <c r="V37" i="8"/>
  <c r="S38" i="8"/>
  <c r="T38" i="8"/>
  <c r="U38" i="8"/>
  <c r="V38" i="8"/>
  <c r="J2" i="6"/>
  <c r="AT6" i="8"/>
  <c r="AS6" i="8"/>
  <c r="AR6" i="8"/>
  <c r="AQ6" i="8"/>
  <c r="AP6" i="8"/>
  <c r="AT5" i="8"/>
  <c r="AS5" i="8"/>
  <c r="AR5" i="8"/>
  <c r="AQ5" i="8"/>
  <c r="AP5" i="8"/>
  <c r="AT4" i="8" a="1"/>
  <c r="AT4" i="8" s="1"/>
  <c r="AS4" i="8" a="1"/>
  <c r="AS4" i="8" s="1"/>
  <c r="AR4" i="8" a="1"/>
  <c r="AR4" i="8" s="1"/>
  <c r="AQ4" i="8" a="1"/>
  <c r="AQ4" i="8" s="1"/>
  <c r="AP4" i="8" a="1"/>
  <c r="AP4" i="8" s="1"/>
  <c r="AT3" i="8"/>
  <c r="AS3" i="8"/>
  <c r="AR3" i="8"/>
  <c r="AQ3" i="8"/>
  <c r="AP3" i="8"/>
  <c r="AT2" i="8"/>
  <c r="AS2" i="8"/>
  <c r="AR2" i="8"/>
  <c r="AQ2" i="8"/>
  <c r="AP2" i="8"/>
  <c r="AM6" i="8"/>
  <c r="AL6" i="8"/>
  <c r="AK6" i="8"/>
  <c r="AJ6" i="8"/>
  <c r="AI6" i="8"/>
  <c r="AM5" i="8"/>
  <c r="AL5" i="8"/>
  <c r="AK5" i="8"/>
  <c r="AJ5" i="8"/>
  <c r="AI5" i="8"/>
  <c r="AM4" i="8" a="1"/>
  <c r="AM4" i="8" s="1"/>
  <c r="AL4" i="8" a="1"/>
  <c r="AL4" i="8" s="1"/>
  <c r="AK4" i="8" a="1"/>
  <c r="AK4" i="8" s="1"/>
  <c r="AJ4" i="8" a="1"/>
  <c r="AJ4" i="8" s="1"/>
  <c r="AI4" i="8" a="1"/>
  <c r="AI4" i="8" s="1"/>
  <c r="AM3" i="8"/>
  <c r="AL3" i="8"/>
  <c r="AK3" i="8"/>
  <c r="AJ3" i="8"/>
  <c r="AI3" i="8"/>
  <c r="AJ2" i="8"/>
  <c r="AK2" i="8"/>
  <c r="AL2" i="8"/>
  <c r="AM2" i="8"/>
  <c r="AI2" i="8"/>
  <c r="AI9" i="8"/>
  <c r="AK9" i="8"/>
  <c r="AL9" i="8"/>
  <c r="AM9" i="8"/>
  <c r="AI10" i="8"/>
  <c r="AK10" i="8"/>
  <c r="AL10" i="8"/>
  <c r="AM10" i="8"/>
  <c r="AI11" i="8"/>
  <c r="AK11" i="8"/>
  <c r="AL11" i="8"/>
  <c r="AM11" i="8"/>
  <c r="AI12" i="8"/>
  <c r="AK12" i="8"/>
  <c r="AL12" i="8"/>
  <c r="AM12" i="8"/>
  <c r="AI13" i="8"/>
  <c r="AK13" i="8"/>
  <c r="AL13" i="8"/>
  <c r="AM13" i="8"/>
  <c r="AT38" i="8"/>
  <c r="AS38" i="8"/>
  <c r="AR38" i="8"/>
  <c r="AQ38" i="8"/>
  <c r="AP38" i="8"/>
  <c r="AT37" i="8"/>
  <c r="AS37" i="8"/>
  <c r="AR37" i="8"/>
  <c r="AQ37" i="8"/>
  <c r="AP37" i="8"/>
  <c r="AT36" i="8"/>
  <c r="AS36" i="8"/>
  <c r="AR36" i="8"/>
  <c r="AQ36" i="8"/>
  <c r="AP36" i="8"/>
  <c r="AT35" i="8"/>
  <c r="AS35" i="8"/>
  <c r="AR35" i="8"/>
  <c r="AQ35" i="8"/>
  <c r="AP35" i="8"/>
  <c r="AT34" i="8"/>
  <c r="AS34" i="8"/>
  <c r="AR34" i="8"/>
  <c r="AQ34" i="8"/>
  <c r="AP34" i="8"/>
  <c r="AJ34" i="8"/>
  <c r="AK34" i="8"/>
  <c r="AL34" i="8"/>
  <c r="AM34" i="8"/>
  <c r="AJ35" i="8"/>
  <c r="AK35" i="8"/>
  <c r="AL35" i="8"/>
  <c r="AM35" i="8"/>
  <c r="AJ36" i="8"/>
  <c r="AK36" i="8"/>
  <c r="AL36" i="8"/>
  <c r="AM36" i="8"/>
  <c r="AJ37" i="8"/>
  <c r="AK37" i="8"/>
  <c r="AL37" i="8"/>
  <c r="AM37" i="8"/>
  <c r="AJ38" i="8"/>
  <c r="AK38" i="8"/>
  <c r="AL38" i="8"/>
  <c r="AM38" i="8"/>
  <c r="AI35" i="8"/>
  <c r="AI36" i="8"/>
  <c r="AI37" i="8"/>
  <c r="AI38" i="8"/>
  <c r="AI34" i="8"/>
  <c r="AT22" i="8"/>
  <c r="AS22" i="8"/>
  <c r="AR22" i="8"/>
  <c r="AQ22" i="8"/>
  <c r="AP22" i="8"/>
  <c r="AT21" i="8"/>
  <c r="AS21" i="8"/>
  <c r="AR21" i="8"/>
  <c r="AQ21" i="8"/>
  <c r="AP21" i="8"/>
  <c r="AT20" i="8"/>
  <c r="AS20" i="8"/>
  <c r="AR20" i="8"/>
  <c r="AQ20" i="8"/>
  <c r="AP20" i="8"/>
  <c r="AU20" i="8" s="1"/>
  <c r="AT19" i="8"/>
  <c r="AS19" i="8"/>
  <c r="AR19" i="8"/>
  <c r="AQ19" i="8"/>
  <c r="AP19" i="8"/>
  <c r="AT18" i="8"/>
  <c r="AS18" i="8"/>
  <c r="AR18" i="8"/>
  <c r="AQ18" i="8"/>
  <c r="AP18" i="8"/>
  <c r="AT17" i="8"/>
  <c r="AS17" i="8"/>
  <c r="AR17" i="8"/>
  <c r="AQ17" i="8"/>
  <c r="AP17" i="8"/>
  <c r="AJ17" i="8"/>
  <c r="AK17" i="8"/>
  <c r="AL17" i="8"/>
  <c r="AM17" i="8"/>
  <c r="AJ18" i="8"/>
  <c r="AK18" i="8"/>
  <c r="AL18" i="8"/>
  <c r="AM18" i="8"/>
  <c r="AJ19" i="8"/>
  <c r="AK19" i="8"/>
  <c r="AL19" i="8"/>
  <c r="AM19" i="8"/>
  <c r="AJ20" i="8"/>
  <c r="AK20" i="8"/>
  <c r="AL20" i="8"/>
  <c r="AM20" i="8"/>
  <c r="AJ21" i="8"/>
  <c r="AK21" i="8"/>
  <c r="AL21" i="8"/>
  <c r="AM21" i="8"/>
  <c r="AJ22" i="8"/>
  <c r="AK22" i="8"/>
  <c r="AL22" i="8"/>
  <c r="AM22" i="8"/>
  <c r="AI18" i="8"/>
  <c r="AI19" i="8"/>
  <c r="AI20" i="8"/>
  <c r="AI21" i="8"/>
  <c r="AI22" i="8"/>
  <c r="AI17" i="8"/>
  <c r="AP10" i="8"/>
  <c r="AQ10" i="8"/>
  <c r="AR10" i="8"/>
  <c r="AS10" i="8"/>
  <c r="AT10" i="8"/>
  <c r="AP11" i="8"/>
  <c r="AQ11" i="8"/>
  <c r="AR11" i="8"/>
  <c r="AS11" i="8"/>
  <c r="AT11" i="8"/>
  <c r="AP12" i="8"/>
  <c r="AQ12" i="8"/>
  <c r="AR12" i="8"/>
  <c r="AS12" i="8"/>
  <c r="AT12" i="8"/>
  <c r="AP13" i="8"/>
  <c r="AQ13" i="8"/>
  <c r="AR13" i="8"/>
  <c r="AS13" i="8"/>
  <c r="AT13" i="8"/>
  <c r="AQ9" i="8"/>
  <c r="AR9" i="8"/>
  <c r="AS9" i="8"/>
  <c r="AT9" i="8"/>
  <c r="AP9" i="8"/>
  <c r="AB2" i="8"/>
  <c r="AC2" i="8"/>
  <c r="AD2" i="8"/>
  <c r="AE2" i="8"/>
  <c r="AF2" i="8"/>
  <c r="AB3" i="8"/>
  <c r="AC3" i="8"/>
  <c r="AD3" i="8"/>
  <c r="AE3" i="8"/>
  <c r="AF3" i="8"/>
  <c r="AB4" i="8" a="1"/>
  <c r="AB4" i="8" s="1"/>
  <c r="AC4" i="8" a="1"/>
  <c r="AC4" i="8" s="1"/>
  <c r="AD4" i="8" a="1"/>
  <c r="AD4" i="8" s="1"/>
  <c r="AE4" i="8" a="1"/>
  <c r="AE4" i="8" s="1"/>
  <c r="AF4" i="8" a="1"/>
  <c r="AF4" i="8" s="1"/>
  <c r="AB5" i="8"/>
  <c r="AC5" i="8"/>
  <c r="AD5" i="8"/>
  <c r="AE5" i="8"/>
  <c r="AF5" i="8"/>
  <c r="AB6" i="8"/>
  <c r="AC6" i="8"/>
  <c r="AD6" i="8"/>
  <c r="AE6" i="8"/>
  <c r="AF6" i="8"/>
  <c r="AA6" i="8"/>
  <c r="AA5" i="8"/>
  <c r="AA4" i="8" a="1"/>
  <c r="AA4" i="8" s="1"/>
  <c r="AA3" i="8"/>
  <c r="AA2" i="8"/>
  <c r="W4" i="8" a="1"/>
  <c r="W4" i="8" s="1"/>
  <c r="X4" i="8" a="1"/>
  <c r="X4" i="8" s="1"/>
  <c r="W6" i="8"/>
  <c r="X6" i="8"/>
  <c r="W5" i="8"/>
  <c r="X5" i="8"/>
  <c r="W3" i="8"/>
  <c r="X3" i="8"/>
  <c r="W2" i="8"/>
  <c r="X2" i="8"/>
  <c r="AB34" i="8"/>
  <c r="AC34" i="8"/>
  <c r="AD34" i="8"/>
  <c r="AE34" i="8"/>
  <c r="AF34" i="8"/>
  <c r="AB35" i="8"/>
  <c r="AC35" i="8"/>
  <c r="AD35" i="8"/>
  <c r="AE35" i="8"/>
  <c r="AF35" i="8"/>
  <c r="AB36" i="8"/>
  <c r="AC36" i="8"/>
  <c r="AD36" i="8"/>
  <c r="AE36" i="8"/>
  <c r="AF36" i="8"/>
  <c r="AB37" i="8"/>
  <c r="AC37" i="8"/>
  <c r="AD37" i="8"/>
  <c r="AE37" i="8"/>
  <c r="AF37" i="8"/>
  <c r="AB38" i="8"/>
  <c r="AC38" i="8"/>
  <c r="AD38" i="8"/>
  <c r="AE38" i="8"/>
  <c r="AF38" i="8"/>
  <c r="AA35" i="8"/>
  <c r="AA36" i="8"/>
  <c r="AA37" i="8"/>
  <c r="AA38" i="8"/>
  <c r="AA34" i="8"/>
  <c r="AB26" i="8"/>
  <c r="AC26" i="8"/>
  <c r="AD26" i="8"/>
  <c r="AE26" i="8"/>
  <c r="AF26" i="8"/>
  <c r="AB27" i="8"/>
  <c r="AC27" i="8"/>
  <c r="AD27" i="8"/>
  <c r="AE27" i="8"/>
  <c r="AF27" i="8"/>
  <c r="AB28" i="8"/>
  <c r="AC28" i="8"/>
  <c r="AD28" i="8"/>
  <c r="AE28" i="8"/>
  <c r="AF28" i="8"/>
  <c r="AB29" i="8"/>
  <c r="AC29" i="8"/>
  <c r="AD29" i="8"/>
  <c r="AE29" i="8"/>
  <c r="AF29" i="8"/>
  <c r="AB30" i="8"/>
  <c r="AC30" i="8"/>
  <c r="AD30" i="8"/>
  <c r="AE30" i="8"/>
  <c r="AF30" i="8"/>
  <c r="AA27" i="8"/>
  <c r="AA28" i="8"/>
  <c r="AA29" i="8"/>
  <c r="AA30" i="8"/>
  <c r="AA26" i="8"/>
  <c r="W35" i="8"/>
  <c r="X35" i="8"/>
  <c r="W36" i="8"/>
  <c r="X36" i="8"/>
  <c r="W37" i="8"/>
  <c r="X37" i="8"/>
  <c r="W38" i="8"/>
  <c r="X38" i="8"/>
  <c r="X34" i="8"/>
  <c r="W34" i="8"/>
  <c r="AB9" i="8"/>
  <c r="AC9" i="8"/>
  <c r="AD9" i="8"/>
  <c r="AE9" i="8"/>
  <c r="AF9" i="8"/>
  <c r="AB10" i="8"/>
  <c r="AC10" i="8"/>
  <c r="AD10" i="8"/>
  <c r="AE10" i="8"/>
  <c r="AF10" i="8"/>
  <c r="AB11" i="8"/>
  <c r="AC11" i="8"/>
  <c r="AD11" i="8"/>
  <c r="AE11" i="8"/>
  <c r="AF11" i="8"/>
  <c r="AB12" i="8"/>
  <c r="AC12" i="8"/>
  <c r="AD12" i="8"/>
  <c r="AE12" i="8"/>
  <c r="AF12" i="8"/>
  <c r="AB13" i="8"/>
  <c r="AC13" i="8"/>
  <c r="AD13" i="8"/>
  <c r="AE13" i="8"/>
  <c r="AF13" i="8"/>
  <c r="AA10" i="8"/>
  <c r="AA11" i="8"/>
  <c r="AA12" i="8"/>
  <c r="AA13" i="8"/>
  <c r="AA9" i="8"/>
  <c r="W27" i="8"/>
  <c r="X27" i="8"/>
  <c r="W28" i="8"/>
  <c r="X28" i="8"/>
  <c r="W29" i="8"/>
  <c r="X29" i="8"/>
  <c r="W30" i="8"/>
  <c r="X30" i="8"/>
  <c r="W26" i="8"/>
  <c r="X26" i="8"/>
  <c r="W10" i="8"/>
  <c r="X10" i="8"/>
  <c r="W11" i="8"/>
  <c r="X11" i="8"/>
  <c r="W12" i="8"/>
  <c r="X12" i="8"/>
  <c r="W13" i="8"/>
  <c r="X13" i="8"/>
  <c r="W9" i="8"/>
  <c r="X9" i="8"/>
  <c r="K2" i="6"/>
  <c r="C35" i="8"/>
  <c r="C36" i="8"/>
  <c r="C37" i="8"/>
  <c r="C38" i="8"/>
  <c r="C34" i="8"/>
  <c r="B35" i="8"/>
  <c r="B36" i="8"/>
  <c r="B37" i="8"/>
  <c r="B38" i="8"/>
  <c r="B34" i="8"/>
  <c r="B39" i="8" s="1"/>
  <c r="C27" i="8"/>
  <c r="C28" i="8"/>
  <c r="C29" i="8"/>
  <c r="C30" i="8"/>
  <c r="C26" i="8"/>
  <c r="B27" i="8"/>
  <c r="B28" i="8"/>
  <c r="B29" i="8"/>
  <c r="B30" i="8"/>
  <c r="B26" i="8"/>
  <c r="C18" i="8"/>
  <c r="C19" i="8"/>
  <c r="C20" i="8"/>
  <c r="C21" i="8"/>
  <c r="C22" i="8"/>
  <c r="C17" i="8"/>
  <c r="B18" i="8"/>
  <c r="B19" i="8"/>
  <c r="B20" i="8"/>
  <c r="B21" i="8"/>
  <c r="B22" i="8"/>
  <c r="B17" i="8"/>
  <c r="I2" i="6"/>
  <c r="C10" i="8"/>
  <c r="C11" i="8"/>
  <c r="C12" i="8"/>
  <c r="C13" i="8"/>
  <c r="C9" i="8"/>
  <c r="B10" i="8"/>
  <c r="B11" i="8"/>
  <c r="B12" i="8"/>
  <c r="B13" i="8"/>
  <c r="B9" i="8"/>
  <c r="B14" i="8" s="1"/>
  <c r="C6" i="8"/>
  <c r="B6" i="8"/>
  <c r="C5" i="8"/>
  <c r="B5" i="8"/>
  <c r="C4" i="8"/>
  <c r="B4" i="8"/>
  <c r="C3" i="8"/>
  <c r="B3" i="8"/>
  <c r="C2" i="8"/>
  <c r="B2" i="8"/>
  <c r="Q38" i="8" l="1"/>
  <c r="AX23" i="8"/>
  <c r="BH31" i="8"/>
  <c r="AZ23" i="8"/>
  <c r="AX31" i="8"/>
  <c r="J19" i="8"/>
  <c r="BI18" i="8"/>
  <c r="J22" i="8"/>
  <c r="Q26" i="8"/>
  <c r="Q29" i="8"/>
  <c r="BB19" i="8"/>
  <c r="AU22" i="8"/>
  <c r="E23" i="8"/>
  <c r="BF14" i="8"/>
  <c r="BI29" i="8"/>
  <c r="BB13" i="8"/>
  <c r="BB28" i="8"/>
  <c r="BI11" i="8"/>
  <c r="BI17" i="8"/>
  <c r="BB10" i="8"/>
  <c r="BB21" i="8"/>
  <c r="Q35" i="8"/>
  <c r="BH23" i="8"/>
  <c r="BI19" i="8"/>
  <c r="BI26" i="8"/>
  <c r="AW23" i="8"/>
  <c r="BG31" i="8"/>
  <c r="BB30" i="8"/>
  <c r="BI28" i="8"/>
  <c r="BB12" i="8"/>
  <c r="AY23" i="8"/>
  <c r="BB27" i="8"/>
  <c r="BI21" i="8"/>
  <c r="AZ31" i="8"/>
  <c r="BB17" i="8"/>
  <c r="BE23" i="8"/>
  <c r="BA31" i="8"/>
  <c r="BI27" i="8"/>
  <c r="BI30" i="8"/>
  <c r="Q21" i="8"/>
  <c r="Q18" i="8"/>
  <c r="BB11" i="8"/>
  <c r="BB20" i="8"/>
  <c r="BB26" i="8"/>
  <c r="BE31" i="8"/>
  <c r="J21" i="8"/>
  <c r="L39" i="8"/>
  <c r="BI20" i="8"/>
  <c r="BB31" i="8"/>
  <c r="AW31" i="8"/>
  <c r="BD31" i="8"/>
  <c r="BF31" i="8"/>
  <c r="BB18" i="8"/>
  <c r="BD23" i="8"/>
  <c r="BF23" i="8"/>
  <c r="BD14" i="8"/>
  <c r="BE14" i="8"/>
  <c r="BI12" i="8"/>
  <c r="BH14" i="8"/>
  <c r="BI13" i="8"/>
  <c r="BG14" i="8"/>
  <c r="BI10" i="8"/>
  <c r="AX14" i="8"/>
  <c r="AZ14" i="8"/>
  <c r="AY14" i="8"/>
  <c r="BA14" i="8"/>
  <c r="BB9" i="8"/>
  <c r="BB14" i="8" s="1"/>
  <c r="BI9" i="8"/>
  <c r="AW14" i="8"/>
  <c r="V39" i="8"/>
  <c r="M23" i="8"/>
  <c r="P23" i="8"/>
  <c r="E31" i="8"/>
  <c r="O23" i="8"/>
  <c r="N23" i="8"/>
  <c r="G31" i="8"/>
  <c r="Q19" i="8"/>
  <c r="F31" i="8"/>
  <c r="AI39" i="8"/>
  <c r="B31" i="8"/>
  <c r="Q22" i="8"/>
  <c r="I31" i="8"/>
  <c r="Q36" i="8"/>
  <c r="T14" i="8"/>
  <c r="H31" i="8"/>
  <c r="J18" i="8"/>
  <c r="Q27" i="8"/>
  <c r="N39" i="8"/>
  <c r="B23" i="8"/>
  <c r="Q37" i="8"/>
  <c r="I23" i="8"/>
  <c r="J20" i="8"/>
  <c r="Q17" i="8"/>
  <c r="Q28" i="8"/>
  <c r="H23" i="8"/>
  <c r="G23" i="8"/>
  <c r="Q20" i="8"/>
  <c r="J26" i="8"/>
  <c r="AN20" i="8"/>
  <c r="I39" i="8"/>
  <c r="E39" i="8"/>
  <c r="T39" i="8"/>
  <c r="AN35" i="8"/>
  <c r="F23" i="8"/>
  <c r="F39" i="8"/>
  <c r="P39" i="8"/>
  <c r="U39" i="8"/>
  <c r="G39" i="8"/>
  <c r="O31" i="8"/>
  <c r="Q34" i="8"/>
  <c r="H39" i="8"/>
  <c r="P31" i="8"/>
  <c r="L23" i="8"/>
  <c r="M31" i="8"/>
  <c r="O39" i="8"/>
  <c r="J17" i="8"/>
  <c r="M39" i="8"/>
  <c r="N31" i="8"/>
  <c r="L31" i="8"/>
  <c r="J34" i="8"/>
  <c r="S39" i="8"/>
  <c r="S31" i="8"/>
  <c r="V31" i="8"/>
  <c r="U31" i="8"/>
  <c r="T31" i="8"/>
  <c r="AN18" i="8"/>
  <c r="AU17" i="8"/>
  <c r="AI23" i="8"/>
  <c r="AN38" i="8"/>
  <c r="AN17" i="8"/>
  <c r="AM23" i="8"/>
  <c r="AU21" i="8"/>
  <c r="AJ39" i="8"/>
  <c r="AL23" i="8"/>
  <c r="AN11" i="8"/>
  <c r="AN21" i="8"/>
  <c r="AU36" i="8"/>
  <c r="AN22" i="8"/>
  <c r="AJ23" i="8"/>
  <c r="AM39" i="8"/>
  <c r="AU37" i="8"/>
  <c r="AN36" i="8"/>
  <c r="AK23" i="8"/>
  <c r="AK39" i="8"/>
  <c r="AS39" i="8"/>
  <c r="AN37" i="8"/>
  <c r="AN34" i="8"/>
  <c r="AU38" i="8"/>
  <c r="AT39" i="8"/>
  <c r="AQ23" i="8"/>
  <c r="AR39" i="8"/>
  <c r="AN10" i="8"/>
  <c r="AR23" i="8"/>
  <c r="AN13" i="8"/>
  <c r="AN9" i="8"/>
  <c r="AS23" i="8"/>
  <c r="AT23" i="8"/>
  <c r="AN12" i="8"/>
  <c r="AU18" i="8"/>
  <c r="AL39" i="8"/>
  <c r="AN19" i="8"/>
  <c r="AQ39" i="8"/>
  <c r="AU9" i="8"/>
  <c r="AU19" i="8"/>
  <c r="AP39" i="8"/>
  <c r="AU34" i="8"/>
  <c r="AU35" i="8"/>
  <c r="AP23" i="8"/>
  <c r="AU12" i="8"/>
  <c r="AR14" i="8"/>
  <c r="AU11" i="8"/>
  <c r="AS14" i="8"/>
  <c r="AT14" i="8"/>
  <c r="AQ14" i="8"/>
  <c r="AU13" i="8"/>
  <c r="AP14" i="8"/>
  <c r="AU10" i="8"/>
  <c r="AJ14" i="8"/>
  <c r="AL14" i="8"/>
  <c r="AM14" i="8"/>
  <c r="AK14" i="8"/>
  <c r="AI14" i="8"/>
  <c r="X14" i="8"/>
  <c r="W14" i="8"/>
  <c r="C31" i="8"/>
  <c r="C23" i="8"/>
  <c r="AF39" i="8"/>
  <c r="AE39" i="8"/>
  <c r="AG35" i="8"/>
  <c r="AG38" i="8"/>
  <c r="AG36" i="8"/>
  <c r="AG34" i="8"/>
  <c r="AB39" i="8"/>
  <c r="AC39" i="8"/>
  <c r="AG37" i="8"/>
  <c r="AD39" i="8"/>
  <c r="AG27" i="8"/>
  <c r="AG30" i="8"/>
  <c r="AG29" i="8"/>
  <c r="AG28" i="8"/>
  <c r="AA31" i="8"/>
  <c r="AF31" i="8"/>
  <c r="AE31" i="8"/>
  <c r="AD31" i="8"/>
  <c r="AC31" i="8"/>
  <c r="AB31" i="8"/>
  <c r="AD14" i="8"/>
  <c r="AB14" i="8"/>
  <c r="AF14" i="8"/>
  <c r="AE14" i="8"/>
  <c r="AC14" i="8"/>
  <c r="AG9" i="8"/>
  <c r="AG13" i="8"/>
  <c r="AG12" i="8"/>
  <c r="AG11" i="8"/>
  <c r="AG10" i="8"/>
  <c r="AG26" i="8"/>
  <c r="AA14" i="8"/>
  <c r="AA39" i="8"/>
  <c r="Y27" i="8"/>
  <c r="Y29" i="8"/>
  <c r="Y28" i="8"/>
  <c r="X39" i="8"/>
  <c r="W39" i="8"/>
  <c r="Y30" i="8"/>
  <c r="Y36" i="8"/>
  <c r="Y34" i="8"/>
  <c r="Y38" i="8"/>
  <c r="Y37" i="8"/>
  <c r="Y35" i="8"/>
  <c r="X31" i="8"/>
  <c r="W31" i="8"/>
  <c r="Y26" i="8"/>
  <c r="Y13" i="8"/>
  <c r="Y12" i="8"/>
  <c r="Y11" i="8"/>
  <c r="Y10" i="8"/>
  <c r="Y9" i="8"/>
  <c r="C39" i="8"/>
  <c r="C14" i="8"/>
  <c r="J29" i="8" l="1"/>
  <c r="J31" i="8" s="1"/>
  <c r="BB23" i="8"/>
  <c r="Q23" i="8"/>
  <c r="BI23" i="8"/>
  <c r="BI31" i="8"/>
  <c r="BI14" i="8"/>
  <c r="J35" i="8"/>
  <c r="J27" i="8"/>
  <c r="J30" i="8"/>
  <c r="J28" i="8"/>
  <c r="J37" i="8"/>
  <c r="J23" i="8"/>
  <c r="Q39" i="8"/>
  <c r="J36" i="8"/>
  <c r="J38" i="8"/>
  <c r="AN14" i="8"/>
  <c r="AN39" i="8"/>
  <c r="AU23" i="8"/>
  <c r="AN23" i="8"/>
  <c r="AU39" i="8"/>
  <c r="AU14" i="8"/>
  <c r="Y14" i="8"/>
  <c r="AG31" i="8"/>
  <c r="AG39" i="8"/>
  <c r="AG14" i="8"/>
  <c r="Y39" i="8"/>
  <c r="Y31" i="8"/>
  <c r="J39" i="8" l="1"/>
  <c r="Q31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<sst xmlns="http://schemas.openxmlformats.org/spreadsheetml/2006/main" count="989" uniqueCount="49">
  <si>
    <t>Mes</t>
  </si>
  <si>
    <t>Año</t>
  </si>
  <si>
    <t>Producto</t>
  </si>
  <si>
    <t>Vendedor</t>
  </si>
  <si>
    <t>Unidades</t>
  </si>
  <si>
    <t>Jul</t>
  </si>
  <si>
    <t>Bebidas</t>
  </si>
  <si>
    <t>Dic</t>
  </si>
  <si>
    <t>Lujan</t>
  </si>
  <si>
    <t>Central</t>
  </si>
  <si>
    <t>Jun</t>
  </si>
  <si>
    <t>Zuloaga</t>
  </si>
  <si>
    <t>May</t>
  </si>
  <si>
    <t>Capioli</t>
  </si>
  <si>
    <t>Sep</t>
  </si>
  <si>
    <t>Carnes</t>
  </si>
  <si>
    <t>Santanderes</t>
  </si>
  <si>
    <t>Feb</t>
  </si>
  <si>
    <t>Verduras</t>
  </si>
  <si>
    <t>Antioquia</t>
  </si>
  <si>
    <t>Mar</t>
  </si>
  <si>
    <t>Caribe</t>
  </si>
  <si>
    <t>Ene</t>
  </si>
  <si>
    <t>Ago</t>
  </si>
  <si>
    <t>Oct</t>
  </si>
  <si>
    <t>Abr</t>
  </si>
  <si>
    <t>Nov</t>
  </si>
  <si>
    <t>Ventas</t>
  </si>
  <si>
    <t>Cardenas</t>
  </si>
  <si>
    <t>Juarez</t>
  </si>
  <si>
    <t>Sanchez</t>
  </si>
  <si>
    <t>Pacifico</t>
  </si>
  <si>
    <t>Region</t>
  </si>
  <si>
    <t>Viveres</t>
  </si>
  <si>
    <t>Total</t>
  </si>
  <si>
    <t>MIN</t>
  </si>
  <si>
    <t>MAX</t>
  </si>
  <si>
    <t>MEDIANA</t>
  </si>
  <si>
    <t>PROMEDIO</t>
  </si>
  <si>
    <t>TOTAL</t>
  </si>
  <si>
    <t>Cantidad</t>
  </si>
  <si>
    <t>VENTAS</t>
  </si>
  <si>
    <t>AÑO</t>
  </si>
  <si>
    <t>REGION</t>
  </si>
  <si>
    <t>VENDEDOR</t>
  </si>
  <si>
    <t>PRODUCTO</t>
  </si>
  <si>
    <t>GENERAL</t>
  </si>
  <si>
    <t>Lacteos</t>
  </si>
  <si>
    <t>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</si>
</sst>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,##0_-;\-&quot;$&quot;\ * #,##0_-;_-&quot;$&quot;\ * &quot;-&quot;??_-;_-@_-"/>
  </numFmts>
  <fonts count="11" x14ac:knownFonts="1">
    <font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</font>
    <font>
      <sz val="11"/>
      <color theme="1"/>
      <name val="Calibri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 style="double">
        <color theme="1"/>
      </top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theme="1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theme="1"/>
      </bottom>
      <diagonal/>
    </border>
    <border>
      <left style="thick">
        <color indexed="64"/>
      </left>
      <right/>
      <top style="double">
        <color theme="1"/>
      </top>
      <bottom style="medium">
        <color theme="1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4" borderId="0" applyNumberFormat="0" applyBorder="0" applyAlignment="0" applyProtection="0"/>
  </cellStyleXfs>
  <cellXfs count="136">
    <xf numFmtId="0" fontId="0" fillId="0" borderId="0" xfId="0"/>
    <xf numFmtId="44" fontId="0" fillId="0" borderId="0" xfId="0" applyNumberFormat="1"/>
    <xf numFmtId="1" fontId="0" fillId="0" borderId="0" xfId="0" applyNumberFormat="1"/>
    <xf numFmtId="0" fontId="3" fillId="0" borderId="0" xfId="0" applyFont="1"/>
    <xf numFmtId="0" fontId="2" fillId="3" borderId="0" xfId="0" applyFont="1" applyFill="1"/>
    <xf numFmtId="0" fontId="2" fillId="0" borderId="0" xfId="0" applyFont="1"/>
    <xf numFmtId="0" fontId="2" fillId="3" borderId="2" xfId="0" applyFont="1" applyFill="1" applyBorder="1"/>
    <xf numFmtId="0" fontId="4" fillId="2" borderId="3" xfId="0" applyFont="1" applyFill="1" applyBorder="1"/>
    <xf numFmtId="1" fontId="4" fillId="2" borderId="3" xfId="0" applyNumberFormat="1" applyFont="1" applyFill="1" applyBorder="1"/>
    <xf numFmtId="44" fontId="4" fillId="2" borderId="3" xfId="0" applyNumberFormat="1" applyFont="1" applyFill="1" applyBorder="1"/>
    <xf numFmtId="0" fontId="2" fillId="3" borderId="3" xfId="0" applyFont="1" applyFill="1" applyBorder="1"/>
    <xf numFmtId="1" fontId="2" fillId="3" borderId="3" xfId="0" applyNumberFormat="1" applyFont="1" applyFill="1" applyBorder="1"/>
    <xf numFmtId="44" fontId="2" fillId="3" borderId="3" xfId="0" applyNumberFormat="1" applyFont="1" applyFill="1" applyBorder="1"/>
    <xf numFmtId="1" fontId="2" fillId="0" borderId="0" xfId="0" applyNumberFormat="1" applyFont="1"/>
    <xf numFmtId="44" fontId="2" fillId="0" borderId="0" xfId="0" applyNumberFormat="1" applyFont="1"/>
    <xf numFmtId="1" fontId="2" fillId="3" borderId="0" xfId="0" applyNumberFormat="1" applyFont="1" applyFill="1"/>
    <xf numFmtId="44" fontId="2" fillId="3" borderId="0" xfId="0" applyNumberFormat="1" applyFont="1" applyFill="1"/>
    <xf numFmtId="164" fontId="2" fillId="3" borderId="3" xfId="1" applyNumberFormat="1" applyFont="1" applyFill="1" applyBorder="1"/>
    <xf numFmtId="164" fontId="2" fillId="0" borderId="0" xfId="1" applyNumberFormat="1" applyFont="1"/>
    <xf numFmtId="164" fontId="2" fillId="3" borderId="0" xfId="1" applyNumberFormat="1" applyFont="1" applyFill="1"/>
    <xf numFmtId="164" fontId="2" fillId="3" borderId="2" xfId="1" applyNumberFormat="1" applyFont="1" applyFill="1" applyBorder="1"/>
    <xf numFmtId="1" fontId="4" fillId="2" borderId="3" xfId="1" applyNumberFormat="1" applyFont="1" applyFill="1" applyBorder="1"/>
    <xf numFmtId="1" fontId="2" fillId="3" borderId="3" xfId="1" applyNumberFormat="1" applyFont="1" applyFill="1" applyBorder="1"/>
    <xf numFmtId="1" fontId="2" fillId="0" borderId="0" xfId="1" applyNumberFormat="1" applyFont="1"/>
    <xf numFmtId="1" fontId="2" fillId="3" borderId="0" xfId="1" applyNumberFormat="1" applyFont="1" applyFill="1"/>
    <xf numFmtId="1" fontId="0" fillId="0" borderId="0" xfId="1" applyNumberFormat="1" applyFont="1"/>
    <xf numFmtId="0" fontId="6" fillId="0" borderId="0" xfId="0" applyFont="1"/>
    <xf numFmtId="0" fontId="6" fillId="3" borderId="0" xfId="0" applyFont="1" applyFill="1"/>
    <xf numFmtId="0" fontId="6" fillId="3" borderId="3" xfId="0" applyFont="1" applyFill="1" applyBorder="1"/>
    <xf numFmtId="164" fontId="6" fillId="3" borderId="3" xfId="1" applyNumberFormat="1" applyFont="1" applyFill="1" applyBorder="1"/>
    <xf numFmtId="164" fontId="6" fillId="0" borderId="0" xfId="1" applyNumberFormat="1" applyFont="1"/>
    <xf numFmtId="164" fontId="6" fillId="3" borderId="0" xfId="1" applyNumberFormat="1" applyFont="1" applyFill="1"/>
    <xf numFmtId="0" fontId="6" fillId="0" borderId="4" xfId="0" applyFont="1" applyBorder="1"/>
    <xf numFmtId="44" fontId="6" fillId="3" borderId="3" xfId="1" applyNumberFormat="1" applyFont="1" applyFill="1" applyBorder="1"/>
    <xf numFmtId="44" fontId="6" fillId="0" borderId="0" xfId="1" applyNumberFormat="1" applyFont="1"/>
    <xf numFmtId="44" fontId="6" fillId="3" borderId="0" xfId="1" applyNumberFormat="1" applyFont="1" applyFill="1"/>
    <xf numFmtId="0" fontId="2" fillId="0" borderId="4" xfId="0" applyFont="1" applyBorder="1"/>
    <xf numFmtId="44" fontId="6" fillId="3" borderId="3" xfId="0" applyNumberFormat="1" applyFont="1" applyFill="1" applyBorder="1"/>
    <xf numFmtId="44" fontId="6" fillId="0" borderId="0" xfId="0" applyNumberFormat="1" applyFont="1"/>
    <xf numFmtId="44" fontId="6" fillId="3" borderId="0" xfId="0" applyNumberFormat="1" applyFont="1" applyFill="1"/>
    <xf numFmtId="164" fontId="6" fillId="0" borderId="4" xfId="1" applyNumberFormat="1" applyFont="1" applyBorder="1"/>
    <xf numFmtId="44" fontId="2" fillId="3" borderId="3" xfId="2" applyFont="1" applyFill="1" applyBorder="1"/>
    <xf numFmtId="43" fontId="6" fillId="0" borderId="0" xfId="1" applyFont="1"/>
    <xf numFmtId="164" fontId="6" fillId="3" borderId="2" xfId="1" applyNumberFormat="1" applyFont="1" applyFill="1" applyBorder="1"/>
    <xf numFmtId="44" fontId="2" fillId="0" borderId="0" xfId="2" applyFont="1"/>
    <xf numFmtId="44" fontId="2" fillId="3" borderId="0" xfId="2" applyFont="1" applyFill="1"/>
    <xf numFmtId="164" fontId="2" fillId="0" borderId="0" xfId="1" applyNumberFormat="1" applyFont="1" applyBorder="1"/>
    <xf numFmtId="164" fontId="2" fillId="3" borderId="0" xfId="1" applyNumberFormat="1" applyFont="1" applyFill="1" applyBorder="1"/>
    <xf numFmtId="44" fontId="2" fillId="0" borderId="4" xfId="2" applyFont="1" applyBorder="1"/>
    <xf numFmtId="0" fontId="7" fillId="4" borderId="0" xfId="3"/>
    <xf numFmtId="164" fontId="2" fillId="0" borderId="4" xfId="1" applyNumberFormat="1" applyFont="1" applyBorder="1"/>
    <xf numFmtId="164" fontId="0" fillId="0" borderId="0" xfId="1" applyNumberFormat="1" applyFont="1"/>
    <xf numFmtId="164" fontId="4" fillId="2" borderId="3" xfId="1" applyNumberFormat="1" applyFont="1" applyFill="1" applyBorder="1"/>
    <xf numFmtId="164" fontId="7" fillId="4" borderId="0" xfId="1" applyNumberFormat="1" applyFont="1" applyFill="1"/>
    <xf numFmtId="164" fontId="5" fillId="2" borderId="3" xfId="1" applyNumberFormat="1" applyFont="1" applyFill="1" applyBorder="1"/>
    <xf numFmtId="44" fontId="4" fillId="2" borderId="3" xfId="2" applyFont="1" applyFill="1" applyBorder="1"/>
    <xf numFmtId="165" fontId="4" fillId="2" borderId="3" xfId="2" applyNumberFormat="1" applyFont="1" applyFill="1" applyBorder="1"/>
    <xf numFmtId="165" fontId="0" fillId="0" borderId="0" xfId="2" applyNumberFormat="1" applyFont="1"/>
    <xf numFmtId="165" fontId="2" fillId="3" borderId="3" xfId="2" applyNumberFormat="1" applyFont="1" applyFill="1" applyBorder="1"/>
    <xf numFmtId="165" fontId="2" fillId="0" borderId="0" xfId="2" applyNumberFormat="1" applyFont="1"/>
    <xf numFmtId="165" fontId="2" fillId="3" borderId="0" xfId="2" applyNumberFormat="1" applyFont="1" applyFill="1"/>
    <xf numFmtId="165" fontId="2" fillId="3" borderId="2" xfId="2" applyNumberFormat="1" applyFont="1" applyFill="1" applyBorder="1"/>
    <xf numFmtId="165" fontId="5" fillId="2" borderId="3" xfId="2" applyNumberFormat="1" applyFont="1" applyFill="1" applyBorder="1"/>
    <xf numFmtId="165" fontId="6" fillId="3" borderId="3" xfId="2" applyNumberFormat="1" applyFont="1" applyFill="1" applyBorder="1"/>
    <xf numFmtId="165" fontId="6" fillId="0" borderId="0" xfId="2" applyNumberFormat="1" applyFont="1"/>
    <xf numFmtId="165" fontId="6" fillId="3" borderId="0" xfId="2" applyNumberFormat="1" applyFont="1" applyFill="1"/>
    <xf numFmtId="165" fontId="6" fillId="0" borderId="4" xfId="2" applyNumberFormat="1" applyFont="1" applyBorder="1"/>
    <xf numFmtId="165" fontId="7" fillId="4" borderId="0" xfId="2" applyNumberFormat="1" applyFont="1" applyFill="1"/>
    <xf numFmtId="165" fontId="2" fillId="0" borderId="4" xfId="2" applyNumberFormat="1" applyFont="1" applyBorder="1"/>
    <xf numFmtId="165" fontId="2" fillId="0" borderId="0" xfId="2" applyNumberFormat="1" applyFont="1" applyBorder="1"/>
    <xf numFmtId="165" fontId="2" fillId="3" borderId="0" xfId="2" applyNumberFormat="1" applyFont="1" applyFill="1" applyBorder="1"/>
    <xf numFmtId="165" fontId="6" fillId="3" borderId="2" xfId="2" applyNumberFormat="1" applyFont="1" applyFill="1" applyBorder="1"/>
    <xf numFmtId="0" fontId="2" fillId="3" borderId="1" xfId="0" applyFont="1" applyFill="1" applyBorder="1" applyAlignment="1">
      <alignment horizontal="right"/>
    </xf>
    <xf numFmtId="164" fontId="2" fillId="3" borderId="1" xfId="1" applyNumberFormat="1" applyFont="1" applyFill="1" applyBorder="1" applyAlignment="1">
      <alignment horizontal="right"/>
    </xf>
    <xf numFmtId="44" fontId="2" fillId="3" borderId="1" xfId="0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horizontal="center" vertical="center"/>
    </xf>
    <xf numFmtId="165" fontId="9" fillId="0" borderId="0" xfId="2" applyNumberFormat="1" applyFont="1" applyFill="1" applyBorder="1"/>
    <xf numFmtId="164" fontId="6" fillId="0" borderId="0" xfId="1" applyNumberFormat="1" applyFont="1" applyFill="1" applyBorder="1"/>
    <xf numFmtId="164" fontId="2" fillId="0" borderId="0" xfId="1" applyNumberFormat="1" applyFont="1" applyFill="1" applyBorder="1"/>
    <xf numFmtId="0" fontId="0" fillId="0" borderId="5" xfId="0" applyBorder="1"/>
    <xf numFmtId="0" fontId="4" fillId="2" borderId="6" xfId="0" applyFont="1" applyFill="1" applyBorder="1"/>
    <xf numFmtId="164" fontId="2" fillId="3" borderId="6" xfId="1" applyNumberFormat="1" applyFont="1" applyFill="1" applyBorder="1"/>
    <xf numFmtId="164" fontId="2" fillId="0" borderId="7" xfId="1" applyNumberFormat="1" applyFont="1" applyBorder="1"/>
    <xf numFmtId="164" fontId="2" fillId="3" borderId="7" xfId="1" applyNumberFormat="1" applyFont="1" applyFill="1" applyBorder="1"/>
    <xf numFmtId="164" fontId="2" fillId="3" borderId="8" xfId="1" applyNumberFormat="1" applyFont="1" applyFill="1" applyBorder="1"/>
    <xf numFmtId="0" fontId="0" fillId="0" borderId="7" xfId="0" applyBorder="1"/>
    <xf numFmtId="164" fontId="4" fillId="2" borderId="6" xfId="1" applyNumberFormat="1" applyFont="1" applyFill="1" applyBorder="1"/>
    <xf numFmtId="164" fontId="0" fillId="0" borderId="7" xfId="1" applyNumberFormat="1" applyFont="1" applyBorder="1"/>
    <xf numFmtId="164" fontId="5" fillId="2" borderId="6" xfId="1" applyNumberFormat="1" applyFont="1" applyFill="1" applyBorder="1"/>
    <xf numFmtId="164" fontId="6" fillId="3" borderId="6" xfId="1" applyNumberFormat="1" applyFont="1" applyFill="1" applyBorder="1"/>
    <xf numFmtId="164" fontId="6" fillId="0" borderId="7" xfId="1" applyNumberFormat="1" applyFont="1" applyBorder="1"/>
    <xf numFmtId="164" fontId="6" fillId="3" borderId="7" xfId="1" applyNumberFormat="1" applyFont="1" applyFill="1" applyBorder="1"/>
    <xf numFmtId="164" fontId="6" fillId="0" borderId="9" xfId="1" applyNumberFormat="1" applyFont="1" applyBorder="1"/>
    <xf numFmtId="164" fontId="7" fillId="4" borderId="7" xfId="1" applyNumberFormat="1" applyFont="1" applyFill="1" applyBorder="1"/>
    <xf numFmtId="164" fontId="2" fillId="0" borderId="9" xfId="1" applyNumberFormat="1" applyFont="1" applyBorder="1"/>
    <xf numFmtId="0" fontId="7" fillId="4" borderId="7" xfId="3" applyBorder="1"/>
    <xf numFmtId="165" fontId="2" fillId="3" borderId="6" xfId="2" applyNumberFormat="1" applyFont="1" applyFill="1" applyBorder="1"/>
    <xf numFmtId="165" fontId="2" fillId="0" borderId="7" xfId="2" applyNumberFormat="1" applyFont="1" applyBorder="1"/>
    <xf numFmtId="165" fontId="2" fillId="3" borderId="7" xfId="2" applyNumberFormat="1" applyFont="1" applyFill="1" applyBorder="1"/>
    <xf numFmtId="165" fontId="2" fillId="3" borderId="8" xfId="2" applyNumberFormat="1" applyFont="1" applyFill="1" applyBorder="1"/>
    <xf numFmtId="165" fontId="4" fillId="2" borderId="6" xfId="2" applyNumberFormat="1" applyFont="1" applyFill="1" applyBorder="1"/>
    <xf numFmtId="165" fontId="0" fillId="0" borderId="7" xfId="2" applyNumberFormat="1" applyFont="1" applyBorder="1"/>
    <xf numFmtId="165" fontId="5" fillId="2" borderId="6" xfId="2" applyNumberFormat="1" applyFont="1" applyFill="1" applyBorder="1"/>
    <xf numFmtId="165" fontId="6" fillId="3" borderId="6" xfId="2" applyNumberFormat="1" applyFont="1" applyFill="1" applyBorder="1"/>
    <xf numFmtId="165" fontId="6" fillId="0" borderId="7" xfId="2" applyNumberFormat="1" applyFont="1" applyBorder="1"/>
    <xf numFmtId="165" fontId="6" fillId="3" borderId="7" xfId="2" applyNumberFormat="1" applyFont="1" applyFill="1" applyBorder="1"/>
    <xf numFmtId="165" fontId="6" fillId="0" borderId="9" xfId="2" applyNumberFormat="1" applyFont="1" applyBorder="1"/>
    <xf numFmtId="165" fontId="7" fillId="4" borderId="7" xfId="2" applyNumberFormat="1" applyFont="1" applyFill="1" applyBorder="1"/>
    <xf numFmtId="165" fontId="2" fillId="0" borderId="9" xfId="2" applyNumberFormat="1" applyFont="1" applyBorder="1"/>
    <xf numFmtId="44" fontId="4" fillId="2" borderId="6" xfId="2" applyFont="1" applyFill="1" applyBorder="1"/>
    <xf numFmtId="44" fontId="2" fillId="3" borderId="6" xfId="2" applyFont="1" applyFill="1" applyBorder="1"/>
    <xf numFmtId="44" fontId="2" fillId="0" borderId="7" xfId="2" applyFont="1" applyBorder="1"/>
    <xf numFmtId="44" fontId="2" fillId="3" borderId="7" xfId="2" applyFont="1" applyFill="1" applyBorder="1"/>
    <xf numFmtId="44" fontId="2" fillId="0" borderId="9" xfId="2" applyFont="1" applyBorder="1"/>
    <xf numFmtId="165" fontId="8" fillId="0" borderId="4" xfId="2" applyNumberFormat="1" applyFont="1" applyBorder="1"/>
    <xf numFmtId="44" fontId="8" fillId="0" borderId="4" xfId="0" applyNumberFormat="1" applyFont="1" applyBorder="1"/>
    <xf numFmtId="164" fontId="8" fillId="0" borderId="4" xfId="0" applyNumberFormat="1" applyFont="1" applyBorder="1"/>
    <xf numFmtId="164" fontId="8" fillId="0" borderId="4" xfId="1" applyNumberFormat="1" applyFont="1" applyBorder="1"/>
    <xf numFmtId="44" fontId="8" fillId="0" borderId="4" xfId="2" applyFont="1" applyBorder="1"/>
    <xf numFmtId="164" fontId="4" fillId="0" borderId="0" xfId="1" applyNumberFormat="1" applyFont="1" applyFill="1" applyBorder="1"/>
    <xf numFmtId="164" fontId="7" fillId="4" borderId="0" xfId="1" applyNumberFormat="1" applyFont="1" applyFill="1" applyBorder="1"/>
    <xf numFmtId="165" fontId="4" fillId="0" borderId="0" xfId="2" applyNumberFormat="1" applyFont="1" applyFill="1" applyBorder="1"/>
    <xf numFmtId="165" fontId="7" fillId="4" borderId="0" xfId="2" applyNumberFormat="1" applyFont="1" applyFill="1" applyBorder="1"/>
    <xf numFmtId="164" fontId="8" fillId="3" borderId="2" xfId="1" applyNumberFormat="1" applyFont="1" applyFill="1" applyBorder="1"/>
    <xf numFmtId="44" fontId="8" fillId="3" borderId="2" xfId="0" applyNumberFormat="1" applyFont="1" applyFill="1" applyBorder="1"/>
    <xf numFmtId="1" fontId="4" fillId="2" borderId="6" xfId="1" applyNumberFormat="1" applyFont="1" applyFill="1" applyBorder="1"/>
    <xf numFmtId="164" fontId="2" fillId="0" borderId="7" xfId="1" applyNumberFormat="1" applyFont="1" applyFill="1" applyBorder="1"/>
    <xf numFmtId="0" fontId="0" fillId="0" borderId="0" xfId="0" applyFill="1"/>
    <xf numFmtId="165" fontId="2" fillId="0" borderId="7" xfId="2" applyNumberFormat="1" applyFont="1" applyFill="1" applyBorder="1"/>
    <xf numFmtId="165" fontId="2" fillId="0" borderId="0" xfId="2" applyNumberFormat="1" applyFont="1" applyFill="1" applyBorder="1"/>
    <xf numFmtId="164" fontId="10" fillId="3" borderId="10" xfId="1" applyNumberFormat="1" applyFont="1" applyFill="1" applyBorder="1"/>
    <xf numFmtId="164" fontId="10" fillId="5" borderId="10" xfId="1" applyNumberFormat="1" applyFont="1" applyFill="1" applyBorder="1"/>
    <xf numFmtId="165" fontId="10" fillId="5" borderId="10" xfId="2" applyNumberFormat="1" applyFont="1" applyFill="1" applyBorder="1"/>
    <xf numFmtId="0" fontId="0" fillId="5" borderId="0" xfId="0" applyFill="1"/>
    <xf numFmtId="0" fontId="10" fillId="5" borderId="10" xfId="0" applyFont="1" applyFill="1" applyBorder="1"/>
    <xf numFmtId="165" fontId="10" fillId="5" borderId="10" xfId="0" applyNumberFormat="1" applyFont="1" applyFill="1" applyBorder="1"/>
  </cellXfs>
  <cellStyles count="4">
    <cellStyle name="Énfasis5" xfId="3" builtinId="45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9E69-588F-41D7-A919-6D59BD23BE4B}">
  <dimension ref="A1:K193"/>
  <sheetViews>
    <sheetView zoomScale="148" workbookViewId="0">
      <selection activeCell="A2" sqref="A2"/>
    </sheetView>
  </sheetViews>
  <sheetFormatPr baseColWidth="10" defaultRowHeight="14.4" x14ac:dyDescent="0.3"/>
  <cols>
    <col min="1" max="1" width="6.77734375" bestFit="1" customWidth="1"/>
    <col min="2" max="2" width="6.6640625" style="25" bestFit="1" customWidth="1"/>
    <col min="3" max="3" width="11" bestFit="1" customWidth="1"/>
    <col min="4" max="4" width="11.5546875" bestFit="1" customWidth="1"/>
    <col min="5" max="5" width="11.109375" style="2" bestFit="1" customWidth="1"/>
    <col min="6" max="6" width="15.6640625" style="1" bestFit="1" customWidth="1"/>
    <col min="7" max="7" width="11" bestFit="1" customWidth="1"/>
    <col min="8" max="8" width="3.44140625" customWidth="1"/>
    <col min="9" max="9" width="7.77734375" bestFit="1" customWidth="1"/>
    <col min="10" max="10" width="9.88671875" bestFit="1" customWidth="1"/>
    <col min="11" max="12" width="18.33203125" bestFit="1" customWidth="1"/>
  </cols>
  <sheetData>
    <row r="1" spans="1:11" ht="15" thickBot="1" x14ac:dyDescent="0.35">
      <c r="A1" s="7" t="s">
        <v>0</v>
      </c>
      <c r="B1" s="21" t="s">
        <v>1</v>
      </c>
      <c r="C1" s="7" t="s">
        <v>2</v>
      </c>
      <c r="D1" s="7" t="s">
        <v>3</v>
      </c>
      <c r="E1" s="8" t="s">
        <v>4</v>
      </c>
      <c r="F1" s="9" t="s">
        <v>34</v>
      </c>
      <c r="G1" s="7" t="s">
        <v>32</v>
      </c>
      <c r="I1" s="75" t="s">
        <v>41</v>
      </c>
      <c r="J1" s="75" t="s">
        <v>48</v>
      </c>
      <c r="K1" s="75" t="s">
        <v>39</v>
      </c>
    </row>
    <row r="2" spans="1:11" ht="15" thickBot="1" x14ac:dyDescent="0.35">
      <c r="A2" s="10" t="s">
        <v>5</v>
      </c>
      <c r="B2" s="22">
        <v>2009</v>
      </c>
      <c r="C2" s="10" t="s">
        <v>6</v>
      </c>
      <c r="D2" s="10" t="s">
        <v>28</v>
      </c>
      <c r="E2" s="11">
        <v>3933</v>
      </c>
      <c r="F2" s="12">
        <v>16252665</v>
      </c>
      <c r="G2" s="10" t="s">
        <v>31</v>
      </c>
      <c r="I2" s="72">
        <f>COUNT(ventas_unidades)</f>
        <v>192</v>
      </c>
      <c r="J2" s="73">
        <f>SUM(ventas_unidades)</f>
        <v>858227</v>
      </c>
      <c r="K2" s="74">
        <f>SUM(ventas_total)</f>
        <v>3230017545</v>
      </c>
    </row>
    <row r="3" spans="1:11" x14ac:dyDescent="0.3">
      <c r="A3" s="5" t="s">
        <v>7</v>
      </c>
      <c r="B3" s="23">
        <v>2010</v>
      </c>
      <c r="C3" s="5" t="s">
        <v>33</v>
      </c>
      <c r="D3" s="5" t="s">
        <v>8</v>
      </c>
      <c r="E3" s="13">
        <v>2998</v>
      </c>
      <c r="F3" s="14">
        <v>31939624</v>
      </c>
      <c r="G3" s="5" t="s">
        <v>9</v>
      </c>
    </row>
    <row r="4" spans="1:11" x14ac:dyDescent="0.3">
      <c r="A4" s="4" t="s">
        <v>10</v>
      </c>
      <c r="B4" s="24">
        <v>2008</v>
      </c>
      <c r="C4" s="4" t="s">
        <v>33</v>
      </c>
      <c r="D4" s="4" t="s">
        <v>11</v>
      </c>
      <c r="E4" s="15">
        <v>2061</v>
      </c>
      <c r="F4" s="16">
        <v>20180744</v>
      </c>
      <c r="G4" s="4" t="s">
        <v>9</v>
      </c>
    </row>
    <row r="5" spans="1:11" x14ac:dyDescent="0.3">
      <c r="A5" s="5" t="s">
        <v>12</v>
      </c>
      <c r="B5" s="23">
        <v>2010</v>
      </c>
      <c r="C5" s="5" t="s">
        <v>6</v>
      </c>
      <c r="D5" s="5" t="s">
        <v>13</v>
      </c>
      <c r="E5" s="13">
        <v>4151</v>
      </c>
      <c r="F5" s="14">
        <v>10436592</v>
      </c>
      <c r="G5" s="5" t="s">
        <v>31</v>
      </c>
    </row>
    <row r="6" spans="1:11" x14ac:dyDescent="0.3">
      <c r="A6" s="4" t="s">
        <v>5</v>
      </c>
      <c r="B6" s="24">
        <v>2009</v>
      </c>
      <c r="C6" s="4" t="s">
        <v>33</v>
      </c>
      <c r="D6" s="4" t="s">
        <v>8</v>
      </c>
      <c r="E6" s="15">
        <v>2211</v>
      </c>
      <c r="F6" s="16">
        <v>14885918</v>
      </c>
      <c r="G6" s="4" t="s">
        <v>9</v>
      </c>
    </row>
    <row r="7" spans="1:11" x14ac:dyDescent="0.3">
      <c r="A7" s="5" t="s">
        <v>14</v>
      </c>
      <c r="B7" s="23">
        <v>2009</v>
      </c>
      <c r="C7" s="5" t="s">
        <v>15</v>
      </c>
      <c r="D7" s="5" t="s">
        <v>29</v>
      </c>
      <c r="E7" s="13">
        <v>2912</v>
      </c>
      <c r="F7" s="14">
        <v>17918813</v>
      </c>
      <c r="G7" s="5" t="s">
        <v>16</v>
      </c>
    </row>
    <row r="8" spans="1:11" x14ac:dyDescent="0.3">
      <c r="A8" s="4" t="s">
        <v>17</v>
      </c>
      <c r="B8" s="24">
        <v>2008</v>
      </c>
      <c r="C8" s="4" t="s">
        <v>18</v>
      </c>
      <c r="D8" s="4" t="s">
        <v>28</v>
      </c>
      <c r="E8" s="15">
        <v>4380</v>
      </c>
      <c r="F8" s="16">
        <v>8427590</v>
      </c>
      <c r="G8" s="4" t="s">
        <v>19</v>
      </c>
    </row>
    <row r="9" spans="1:11" x14ac:dyDescent="0.3">
      <c r="A9" s="5" t="s">
        <v>5</v>
      </c>
      <c r="B9" s="23">
        <v>2008</v>
      </c>
      <c r="C9" s="5" t="s">
        <v>15</v>
      </c>
      <c r="D9" s="5" t="s">
        <v>30</v>
      </c>
      <c r="E9" s="13">
        <v>2696</v>
      </c>
      <c r="F9" s="14">
        <v>26234243</v>
      </c>
      <c r="G9" s="5" t="s">
        <v>16</v>
      </c>
    </row>
    <row r="10" spans="1:11" x14ac:dyDescent="0.3">
      <c r="A10" s="4" t="s">
        <v>20</v>
      </c>
      <c r="B10" s="24">
        <v>2008</v>
      </c>
      <c r="C10" s="4" t="s">
        <v>18</v>
      </c>
      <c r="D10" s="4" t="s">
        <v>30</v>
      </c>
      <c r="E10" s="15">
        <v>1759</v>
      </c>
      <c r="F10" s="16">
        <v>6478805</v>
      </c>
      <c r="G10" s="4" t="s">
        <v>19</v>
      </c>
    </row>
    <row r="11" spans="1:11" x14ac:dyDescent="0.3">
      <c r="A11" s="5" t="s">
        <v>20</v>
      </c>
      <c r="B11" s="23">
        <v>2010</v>
      </c>
      <c r="C11" s="5" t="s">
        <v>47</v>
      </c>
      <c r="D11" s="5" t="s">
        <v>30</v>
      </c>
      <c r="E11" s="13">
        <v>1302</v>
      </c>
      <c r="F11" s="14">
        <v>16000781</v>
      </c>
      <c r="G11" s="5" t="s">
        <v>21</v>
      </c>
    </row>
    <row r="12" spans="1:11" x14ac:dyDescent="0.3">
      <c r="A12" s="4" t="s">
        <v>22</v>
      </c>
      <c r="B12" s="24">
        <v>2008</v>
      </c>
      <c r="C12" s="4" t="s">
        <v>47</v>
      </c>
      <c r="D12" s="4" t="s">
        <v>30</v>
      </c>
      <c r="E12" s="15">
        <v>1413</v>
      </c>
      <c r="F12" s="16">
        <v>11747242</v>
      </c>
      <c r="G12" s="4" t="s">
        <v>21</v>
      </c>
    </row>
    <row r="13" spans="1:11" x14ac:dyDescent="0.3">
      <c r="A13" s="5" t="s">
        <v>7</v>
      </c>
      <c r="B13" s="23">
        <v>2009</v>
      </c>
      <c r="C13" s="5" t="s">
        <v>33</v>
      </c>
      <c r="D13" s="5" t="s">
        <v>30</v>
      </c>
      <c r="E13" s="13">
        <v>4030</v>
      </c>
      <c r="F13" s="14">
        <v>8654422</v>
      </c>
      <c r="G13" s="5" t="s">
        <v>9</v>
      </c>
    </row>
    <row r="14" spans="1:11" x14ac:dyDescent="0.3">
      <c r="A14" s="4" t="s">
        <v>5</v>
      </c>
      <c r="B14" s="24">
        <v>2009</v>
      </c>
      <c r="C14" s="4" t="s">
        <v>18</v>
      </c>
      <c r="D14" s="4" t="s">
        <v>28</v>
      </c>
      <c r="E14" s="15">
        <v>3855</v>
      </c>
      <c r="F14" s="16">
        <v>26452658</v>
      </c>
      <c r="G14" s="4" t="s">
        <v>19</v>
      </c>
    </row>
    <row r="15" spans="1:11" x14ac:dyDescent="0.3">
      <c r="A15" s="5" t="s">
        <v>20</v>
      </c>
      <c r="B15" s="23">
        <v>2009</v>
      </c>
      <c r="C15" s="5" t="s">
        <v>33</v>
      </c>
      <c r="D15" s="5" t="s">
        <v>11</v>
      </c>
      <c r="E15" s="13">
        <v>984</v>
      </c>
      <c r="F15" s="14">
        <v>21702854</v>
      </c>
      <c r="G15" s="5" t="s">
        <v>9</v>
      </c>
    </row>
    <row r="16" spans="1:11" x14ac:dyDescent="0.3">
      <c r="A16" s="4" t="s">
        <v>10</v>
      </c>
      <c r="B16" s="24">
        <v>2010</v>
      </c>
      <c r="C16" s="4" t="s">
        <v>47</v>
      </c>
      <c r="D16" s="4" t="s">
        <v>30</v>
      </c>
      <c r="E16" s="15">
        <v>3043</v>
      </c>
      <c r="F16" s="16">
        <v>20842073</v>
      </c>
      <c r="G16" s="4" t="s">
        <v>21</v>
      </c>
    </row>
    <row r="17" spans="1:7" x14ac:dyDescent="0.3">
      <c r="A17" s="5" t="s">
        <v>7</v>
      </c>
      <c r="B17" s="23">
        <v>2009</v>
      </c>
      <c r="C17" s="5" t="s">
        <v>47</v>
      </c>
      <c r="D17" s="5" t="s">
        <v>28</v>
      </c>
      <c r="E17" s="13">
        <v>1193</v>
      </c>
      <c r="F17" s="14">
        <v>30643074</v>
      </c>
      <c r="G17" s="5" t="s">
        <v>21</v>
      </c>
    </row>
    <row r="18" spans="1:7" x14ac:dyDescent="0.3">
      <c r="A18" s="4" t="s">
        <v>23</v>
      </c>
      <c r="B18" s="24">
        <v>2008</v>
      </c>
      <c r="C18" s="4" t="s">
        <v>6</v>
      </c>
      <c r="D18" s="4" t="s">
        <v>11</v>
      </c>
      <c r="E18" s="15">
        <v>1386</v>
      </c>
      <c r="F18" s="16">
        <v>13353392</v>
      </c>
      <c r="G18" s="4" t="s">
        <v>31</v>
      </c>
    </row>
    <row r="19" spans="1:7" x14ac:dyDescent="0.3">
      <c r="A19" s="5" t="s">
        <v>17</v>
      </c>
      <c r="B19" s="23">
        <v>2008</v>
      </c>
      <c r="C19" s="5" t="s">
        <v>15</v>
      </c>
      <c r="D19" s="5" t="s">
        <v>13</v>
      </c>
      <c r="E19" s="13">
        <v>1306</v>
      </c>
      <c r="F19" s="14">
        <v>5417604</v>
      </c>
      <c r="G19" s="5" t="s">
        <v>16</v>
      </c>
    </row>
    <row r="20" spans="1:7" x14ac:dyDescent="0.3">
      <c r="A20" s="4" t="s">
        <v>20</v>
      </c>
      <c r="B20" s="24">
        <v>2010</v>
      </c>
      <c r="C20" s="4" t="s">
        <v>6</v>
      </c>
      <c r="D20" s="4" t="s">
        <v>8</v>
      </c>
      <c r="E20" s="15">
        <v>4574</v>
      </c>
      <c r="F20" s="16">
        <v>23403699</v>
      </c>
      <c r="G20" s="4" t="s">
        <v>31</v>
      </c>
    </row>
    <row r="21" spans="1:7" x14ac:dyDescent="0.3">
      <c r="A21" s="5" t="s">
        <v>24</v>
      </c>
      <c r="B21" s="23">
        <v>2009</v>
      </c>
      <c r="C21" s="5" t="s">
        <v>33</v>
      </c>
      <c r="D21" s="5" t="s">
        <v>28</v>
      </c>
      <c r="E21" s="13">
        <v>3061</v>
      </c>
      <c r="F21" s="14">
        <v>24939400</v>
      </c>
      <c r="G21" s="5" t="s">
        <v>9</v>
      </c>
    </row>
    <row r="22" spans="1:7" x14ac:dyDescent="0.3">
      <c r="A22" s="4" t="s">
        <v>10</v>
      </c>
      <c r="B22" s="24">
        <v>2009</v>
      </c>
      <c r="C22" s="4" t="s">
        <v>33</v>
      </c>
      <c r="D22" s="4" t="s">
        <v>29</v>
      </c>
      <c r="E22" s="15">
        <v>3403</v>
      </c>
      <c r="F22" s="16">
        <v>9790633</v>
      </c>
      <c r="G22" s="4" t="s">
        <v>9</v>
      </c>
    </row>
    <row r="23" spans="1:7" x14ac:dyDescent="0.3">
      <c r="A23" s="5" t="s">
        <v>7</v>
      </c>
      <c r="B23" s="23">
        <v>2008</v>
      </c>
      <c r="C23" s="5" t="s">
        <v>6</v>
      </c>
      <c r="D23" s="5" t="s">
        <v>8</v>
      </c>
      <c r="E23" s="13">
        <v>3781</v>
      </c>
      <c r="F23" s="14">
        <v>22925625</v>
      </c>
      <c r="G23" s="5" t="s">
        <v>31</v>
      </c>
    </row>
    <row r="24" spans="1:7" x14ac:dyDescent="0.3">
      <c r="A24" s="4" t="s">
        <v>20</v>
      </c>
      <c r="B24" s="24">
        <v>2010</v>
      </c>
      <c r="C24" s="4" t="s">
        <v>33</v>
      </c>
      <c r="D24" s="4" t="s">
        <v>8</v>
      </c>
      <c r="E24" s="15">
        <v>3577</v>
      </c>
      <c r="F24" s="16">
        <v>7474946</v>
      </c>
      <c r="G24" s="4" t="s">
        <v>9</v>
      </c>
    </row>
    <row r="25" spans="1:7" x14ac:dyDescent="0.3">
      <c r="A25" s="5" t="s">
        <v>17</v>
      </c>
      <c r="B25" s="23">
        <v>2009</v>
      </c>
      <c r="C25" s="5" t="s">
        <v>18</v>
      </c>
      <c r="D25" s="5" t="s">
        <v>28</v>
      </c>
      <c r="E25" s="13">
        <v>4924</v>
      </c>
      <c r="F25" s="14">
        <v>12732093</v>
      </c>
      <c r="G25" s="5" t="s">
        <v>19</v>
      </c>
    </row>
    <row r="26" spans="1:7" x14ac:dyDescent="0.3">
      <c r="A26" s="4" t="s">
        <v>25</v>
      </c>
      <c r="B26" s="24">
        <v>2008</v>
      </c>
      <c r="C26" s="4" t="s">
        <v>15</v>
      </c>
      <c r="D26" s="4" t="s">
        <v>8</v>
      </c>
      <c r="E26" s="15">
        <v>4301</v>
      </c>
      <c r="F26" s="16">
        <v>21478628</v>
      </c>
      <c r="G26" s="4" t="s">
        <v>16</v>
      </c>
    </row>
    <row r="27" spans="1:7" x14ac:dyDescent="0.3">
      <c r="A27" s="5" t="s">
        <v>7</v>
      </c>
      <c r="B27" s="23">
        <v>2008</v>
      </c>
      <c r="C27" s="5" t="s">
        <v>18</v>
      </c>
      <c r="D27" s="5" t="s">
        <v>28</v>
      </c>
      <c r="E27" s="13">
        <v>2798</v>
      </c>
      <c r="F27" s="14">
        <v>21411284</v>
      </c>
      <c r="G27" s="5" t="s">
        <v>19</v>
      </c>
    </row>
    <row r="28" spans="1:7" x14ac:dyDescent="0.3">
      <c r="A28" s="4" t="s">
        <v>20</v>
      </c>
      <c r="B28" s="24">
        <v>2009</v>
      </c>
      <c r="C28" s="4" t="s">
        <v>18</v>
      </c>
      <c r="D28" s="4" t="s">
        <v>29</v>
      </c>
      <c r="E28" s="15">
        <v>1829</v>
      </c>
      <c r="F28" s="16">
        <v>24143127</v>
      </c>
      <c r="G28" s="4" t="s">
        <v>19</v>
      </c>
    </row>
    <row r="29" spans="1:7" x14ac:dyDescent="0.3">
      <c r="A29" s="5" t="s">
        <v>22</v>
      </c>
      <c r="B29" s="23">
        <v>2010</v>
      </c>
      <c r="C29" s="5" t="s">
        <v>15</v>
      </c>
      <c r="D29" s="5" t="s">
        <v>29</v>
      </c>
      <c r="E29" s="13">
        <v>1088</v>
      </c>
      <c r="F29" s="14">
        <v>18194098</v>
      </c>
      <c r="G29" s="5" t="s">
        <v>16</v>
      </c>
    </row>
    <row r="30" spans="1:7" x14ac:dyDescent="0.3">
      <c r="A30" s="4" t="s">
        <v>22</v>
      </c>
      <c r="B30" s="24">
        <v>2009</v>
      </c>
      <c r="C30" s="4" t="s">
        <v>18</v>
      </c>
      <c r="D30" s="4" t="s">
        <v>8</v>
      </c>
      <c r="E30" s="15">
        <v>4295</v>
      </c>
      <c r="F30" s="16">
        <v>16927126</v>
      </c>
      <c r="G30" s="4" t="s">
        <v>19</v>
      </c>
    </row>
    <row r="31" spans="1:7" x14ac:dyDescent="0.3">
      <c r="A31" s="5" t="s">
        <v>12</v>
      </c>
      <c r="B31" s="23">
        <v>2008</v>
      </c>
      <c r="C31" s="5" t="s">
        <v>33</v>
      </c>
      <c r="D31" s="5" t="s">
        <v>30</v>
      </c>
      <c r="E31" s="13">
        <v>1262</v>
      </c>
      <c r="F31" s="14">
        <v>9325822</v>
      </c>
      <c r="G31" s="5" t="s">
        <v>9</v>
      </c>
    </row>
    <row r="32" spans="1:7" x14ac:dyDescent="0.3">
      <c r="A32" s="4" t="s">
        <v>7</v>
      </c>
      <c r="B32" s="24">
        <v>2010</v>
      </c>
      <c r="C32" s="4" t="s">
        <v>47</v>
      </c>
      <c r="D32" s="4" t="s">
        <v>30</v>
      </c>
      <c r="E32" s="15">
        <v>1708</v>
      </c>
      <c r="F32" s="16">
        <v>7740822</v>
      </c>
      <c r="G32" s="4" t="s">
        <v>21</v>
      </c>
    </row>
    <row r="33" spans="1:7" x14ac:dyDescent="0.3">
      <c r="A33" s="5" t="s">
        <v>14</v>
      </c>
      <c r="B33" s="23">
        <v>2010</v>
      </c>
      <c r="C33" s="5" t="s">
        <v>18</v>
      </c>
      <c r="D33" s="5" t="s">
        <v>29</v>
      </c>
      <c r="E33" s="13">
        <v>3663</v>
      </c>
      <c r="F33" s="14">
        <v>29592962</v>
      </c>
      <c r="G33" s="5" t="s">
        <v>19</v>
      </c>
    </row>
    <row r="34" spans="1:7" x14ac:dyDescent="0.3">
      <c r="A34" s="4" t="s">
        <v>25</v>
      </c>
      <c r="B34" s="24">
        <v>2008</v>
      </c>
      <c r="C34" s="4" t="s">
        <v>33</v>
      </c>
      <c r="D34" s="4" t="s">
        <v>8</v>
      </c>
      <c r="E34" s="15">
        <v>3562</v>
      </c>
      <c r="F34" s="16">
        <v>9309943</v>
      </c>
      <c r="G34" s="4" t="s">
        <v>9</v>
      </c>
    </row>
    <row r="35" spans="1:7" x14ac:dyDescent="0.3">
      <c r="A35" s="5" t="s">
        <v>22</v>
      </c>
      <c r="B35" s="23">
        <v>2010</v>
      </c>
      <c r="C35" s="5" t="s">
        <v>6</v>
      </c>
      <c r="D35" s="5" t="s">
        <v>29</v>
      </c>
      <c r="E35" s="13">
        <v>1663</v>
      </c>
      <c r="F35" s="14">
        <v>30051572</v>
      </c>
      <c r="G35" s="5" t="s">
        <v>31</v>
      </c>
    </row>
    <row r="36" spans="1:7" x14ac:dyDescent="0.3">
      <c r="A36" s="4" t="s">
        <v>23</v>
      </c>
      <c r="B36" s="24">
        <v>2010</v>
      </c>
      <c r="C36" s="4" t="s">
        <v>47</v>
      </c>
      <c r="D36" s="4" t="s">
        <v>30</v>
      </c>
      <c r="E36" s="15">
        <v>4859</v>
      </c>
      <c r="F36" s="16">
        <v>23269797</v>
      </c>
      <c r="G36" s="4" t="s">
        <v>21</v>
      </c>
    </row>
    <row r="37" spans="1:7" x14ac:dyDescent="0.3">
      <c r="A37" s="5" t="s">
        <v>14</v>
      </c>
      <c r="B37" s="23">
        <v>2009</v>
      </c>
      <c r="C37" s="5" t="s">
        <v>18</v>
      </c>
      <c r="D37" s="5" t="s">
        <v>28</v>
      </c>
      <c r="E37" s="13">
        <v>3501</v>
      </c>
      <c r="F37" s="14">
        <v>11003834</v>
      </c>
      <c r="G37" s="5" t="s">
        <v>19</v>
      </c>
    </row>
    <row r="38" spans="1:7" x14ac:dyDescent="0.3">
      <c r="A38" s="4" t="s">
        <v>23</v>
      </c>
      <c r="B38" s="24">
        <v>2009</v>
      </c>
      <c r="C38" s="4" t="s">
        <v>47</v>
      </c>
      <c r="D38" s="4" t="s">
        <v>13</v>
      </c>
      <c r="E38" s="15">
        <v>2047</v>
      </c>
      <c r="F38" s="16">
        <v>8310230</v>
      </c>
      <c r="G38" s="4" t="s">
        <v>21</v>
      </c>
    </row>
    <row r="39" spans="1:7" x14ac:dyDescent="0.3">
      <c r="A39" s="5" t="s">
        <v>14</v>
      </c>
      <c r="B39" s="23">
        <v>2010</v>
      </c>
      <c r="C39" s="5" t="s">
        <v>47</v>
      </c>
      <c r="D39" s="5" t="s">
        <v>30</v>
      </c>
      <c r="E39" s="13">
        <v>1379</v>
      </c>
      <c r="F39" s="14">
        <v>12801434</v>
      </c>
      <c r="G39" s="5" t="s">
        <v>21</v>
      </c>
    </row>
    <row r="40" spans="1:7" x14ac:dyDescent="0.3">
      <c r="A40" s="4" t="s">
        <v>20</v>
      </c>
      <c r="B40" s="24">
        <v>2009</v>
      </c>
      <c r="C40" s="4" t="s">
        <v>15</v>
      </c>
      <c r="D40" s="4" t="s">
        <v>30</v>
      </c>
      <c r="E40" s="15">
        <v>995</v>
      </c>
      <c r="F40" s="16">
        <v>8718052</v>
      </c>
      <c r="G40" s="4" t="s">
        <v>16</v>
      </c>
    </row>
    <row r="41" spans="1:7" x14ac:dyDescent="0.3">
      <c r="A41" s="5" t="s">
        <v>10</v>
      </c>
      <c r="B41" s="23">
        <v>2008</v>
      </c>
      <c r="C41" s="5" t="s">
        <v>18</v>
      </c>
      <c r="D41" s="5" t="s">
        <v>29</v>
      </c>
      <c r="E41" s="13">
        <v>4991</v>
      </c>
      <c r="F41" s="14">
        <v>7707689</v>
      </c>
      <c r="G41" s="5" t="s">
        <v>19</v>
      </c>
    </row>
    <row r="42" spans="1:7" x14ac:dyDescent="0.3">
      <c r="A42" s="4" t="s">
        <v>26</v>
      </c>
      <c r="B42" s="24">
        <v>2009</v>
      </c>
      <c r="C42" s="4" t="s">
        <v>33</v>
      </c>
      <c r="D42" s="4" t="s">
        <v>8</v>
      </c>
      <c r="E42" s="15">
        <v>4701</v>
      </c>
      <c r="F42" s="16">
        <v>26261678</v>
      </c>
      <c r="G42" s="4" t="s">
        <v>9</v>
      </c>
    </row>
    <row r="43" spans="1:7" x14ac:dyDescent="0.3">
      <c r="A43" s="5" t="s">
        <v>22</v>
      </c>
      <c r="B43" s="23">
        <v>2009</v>
      </c>
      <c r="C43" s="5" t="s">
        <v>33</v>
      </c>
      <c r="D43" s="5" t="s">
        <v>29</v>
      </c>
      <c r="E43" s="13">
        <v>1137</v>
      </c>
      <c r="F43" s="14">
        <v>5147572</v>
      </c>
      <c r="G43" s="5" t="s">
        <v>9</v>
      </c>
    </row>
    <row r="44" spans="1:7" x14ac:dyDescent="0.3">
      <c r="A44" s="4" t="s">
        <v>5</v>
      </c>
      <c r="B44" s="24">
        <v>2010</v>
      </c>
      <c r="C44" s="4" t="s">
        <v>47</v>
      </c>
      <c r="D44" s="4" t="s">
        <v>30</v>
      </c>
      <c r="E44" s="15">
        <v>3867</v>
      </c>
      <c r="F44" s="16">
        <v>18659009</v>
      </c>
      <c r="G44" s="4" t="s">
        <v>21</v>
      </c>
    </row>
    <row r="45" spans="1:7" x14ac:dyDescent="0.3">
      <c r="A45" s="5" t="s">
        <v>17</v>
      </c>
      <c r="B45" s="23">
        <v>2010</v>
      </c>
      <c r="C45" s="5" t="s">
        <v>15</v>
      </c>
      <c r="D45" s="5" t="s">
        <v>30</v>
      </c>
      <c r="E45" s="13">
        <v>3187</v>
      </c>
      <c r="F45" s="14">
        <v>9831454</v>
      </c>
      <c r="G45" s="5" t="s">
        <v>16</v>
      </c>
    </row>
    <row r="46" spans="1:7" x14ac:dyDescent="0.3">
      <c r="A46" s="4" t="s">
        <v>14</v>
      </c>
      <c r="B46" s="24">
        <v>2008</v>
      </c>
      <c r="C46" s="4" t="s">
        <v>47</v>
      </c>
      <c r="D46" s="4" t="s">
        <v>8</v>
      </c>
      <c r="E46" s="15">
        <v>2636</v>
      </c>
      <c r="F46" s="16">
        <v>11433092</v>
      </c>
      <c r="G46" s="4" t="s">
        <v>21</v>
      </c>
    </row>
    <row r="47" spans="1:7" x14ac:dyDescent="0.3">
      <c r="A47" s="5" t="s">
        <v>7</v>
      </c>
      <c r="B47" s="23">
        <v>2008</v>
      </c>
      <c r="C47" s="5" t="s">
        <v>15</v>
      </c>
      <c r="D47" s="5" t="s">
        <v>29</v>
      </c>
      <c r="E47" s="13">
        <v>3035</v>
      </c>
      <c r="F47" s="14">
        <v>18264416</v>
      </c>
      <c r="G47" s="5" t="s">
        <v>16</v>
      </c>
    </row>
    <row r="48" spans="1:7" x14ac:dyDescent="0.3">
      <c r="A48" s="4" t="s">
        <v>25</v>
      </c>
      <c r="B48" s="24">
        <v>2008</v>
      </c>
      <c r="C48" s="4" t="s">
        <v>6</v>
      </c>
      <c r="D48" s="4" t="s">
        <v>29</v>
      </c>
      <c r="E48" s="15">
        <v>2455</v>
      </c>
      <c r="F48" s="16">
        <v>26417450</v>
      </c>
      <c r="G48" s="4" t="s">
        <v>31</v>
      </c>
    </row>
    <row r="49" spans="1:7" x14ac:dyDescent="0.3">
      <c r="A49" s="5" t="s">
        <v>17</v>
      </c>
      <c r="B49" s="23">
        <v>2008</v>
      </c>
      <c r="C49" s="5" t="s">
        <v>6</v>
      </c>
      <c r="D49" s="5" t="s">
        <v>8</v>
      </c>
      <c r="E49" s="13">
        <v>2341</v>
      </c>
      <c r="F49" s="14">
        <v>31075727</v>
      </c>
      <c r="G49" s="5" t="s">
        <v>31</v>
      </c>
    </row>
    <row r="50" spans="1:7" x14ac:dyDescent="0.3">
      <c r="A50" s="4" t="s">
        <v>23</v>
      </c>
      <c r="B50" s="24">
        <v>2010</v>
      </c>
      <c r="C50" s="4" t="s">
        <v>33</v>
      </c>
      <c r="D50" s="4" t="s">
        <v>8</v>
      </c>
      <c r="E50" s="15">
        <v>4363</v>
      </c>
      <c r="F50" s="16">
        <v>26787710</v>
      </c>
      <c r="G50" s="4" t="s">
        <v>9</v>
      </c>
    </row>
    <row r="51" spans="1:7" x14ac:dyDescent="0.3">
      <c r="A51" s="5" t="s">
        <v>7</v>
      </c>
      <c r="B51" s="23">
        <v>2009</v>
      </c>
      <c r="C51" s="5" t="s">
        <v>18</v>
      </c>
      <c r="D51" s="5" t="s">
        <v>29</v>
      </c>
      <c r="E51" s="13">
        <v>3641</v>
      </c>
      <c r="F51" s="14">
        <v>22334665</v>
      </c>
      <c r="G51" s="5" t="s">
        <v>19</v>
      </c>
    </row>
    <row r="52" spans="1:7" x14ac:dyDescent="0.3">
      <c r="A52" s="4" t="s">
        <v>20</v>
      </c>
      <c r="B52" s="24">
        <v>2009</v>
      </c>
      <c r="C52" s="4" t="s">
        <v>6</v>
      </c>
      <c r="D52" s="4" t="s">
        <v>30</v>
      </c>
      <c r="E52" s="15">
        <v>2145</v>
      </c>
      <c r="F52" s="16">
        <v>14358111</v>
      </c>
      <c r="G52" s="4" t="s">
        <v>31</v>
      </c>
    </row>
    <row r="53" spans="1:7" x14ac:dyDescent="0.3">
      <c r="A53" s="5" t="s">
        <v>25</v>
      </c>
      <c r="B53" s="23">
        <v>2009</v>
      </c>
      <c r="C53" s="5" t="s">
        <v>33</v>
      </c>
      <c r="D53" s="5" t="s">
        <v>29</v>
      </c>
      <c r="E53" s="13">
        <v>1146</v>
      </c>
      <c r="F53" s="14">
        <v>26212472</v>
      </c>
      <c r="G53" s="5" t="s">
        <v>9</v>
      </c>
    </row>
    <row r="54" spans="1:7" x14ac:dyDescent="0.3">
      <c r="A54" s="4" t="s">
        <v>10</v>
      </c>
      <c r="B54" s="24">
        <v>2010</v>
      </c>
      <c r="C54" s="4" t="s">
        <v>6</v>
      </c>
      <c r="D54" s="4" t="s">
        <v>13</v>
      </c>
      <c r="E54" s="15">
        <v>2131</v>
      </c>
      <c r="F54" s="16">
        <v>25501630</v>
      </c>
      <c r="G54" s="4" t="s">
        <v>31</v>
      </c>
    </row>
    <row r="55" spans="1:7" x14ac:dyDescent="0.3">
      <c r="A55" s="5" t="s">
        <v>25</v>
      </c>
      <c r="B55" s="23">
        <v>2010</v>
      </c>
      <c r="C55" s="5" t="s">
        <v>18</v>
      </c>
      <c r="D55" s="5" t="s">
        <v>29</v>
      </c>
      <c r="E55" s="13">
        <v>1908</v>
      </c>
      <c r="F55" s="14">
        <v>8811970</v>
      </c>
      <c r="G55" s="5" t="s">
        <v>19</v>
      </c>
    </row>
    <row r="56" spans="1:7" x14ac:dyDescent="0.3">
      <c r="A56" s="4" t="s">
        <v>22</v>
      </c>
      <c r="B56" s="24">
        <v>2010</v>
      </c>
      <c r="C56" s="4" t="s">
        <v>18</v>
      </c>
      <c r="D56" s="4" t="s">
        <v>29</v>
      </c>
      <c r="E56" s="15">
        <v>3311</v>
      </c>
      <c r="F56" s="16">
        <v>30558635</v>
      </c>
      <c r="G56" s="4" t="s">
        <v>19</v>
      </c>
    </row>
    <row r="57" spans="1:7" x14ac:dyDescent="0.3">
      <c r="A57" s="5" t="s">
        <v>25</v>
      </c>
      <c r="B57" s="23">
        <v>2010</v>
      </c>
      <c r="C57" s="5" t="s">
        <v>15</v>
      </c>
      <c r="D57" s="5" t="s">
        <v>28</v>
      </c>
      <c r="E57" s="13">
        <v>2072</v>
      </c>
      <c r="F57" s="14">
        <v>20187167</v>
      </c>
      <c r="G57" s="5" t="s">
        <v>16</v>
      </c>
    </row>
    <row r="58" spans="1:7" x14ac:dyDescent="0.3">
      <c r="A58" s="4" t="s">
        <v>23</v>
      </c>
      <c r="B58" s="24">
        <v>2008</v>
      </c>
      <c r="C58" s="4" t="s">
        <v>47</v>
      </c>
      <c r="D58" s="4" t="s">
        <v>8</v>
      </c>
      <c r="E58" s="15">
        <v>3207</v>
      </c>
      <c r="F58" s="16">
        <v>26670251</v>
      </c>
      <c r="G58" s="4" t="s">
        <v>21</v>
      </c>
    </row>
    <row r="59" spans="1:7" x14ac:dyDescent="0.3">
      <c r="A59" s="5" t="s">
        <v>20</v>
      </c>
      <c r="B59" s="23">
        <v>2009</v>
      </c>
      <c r="C59" s="5" t="s">
        <v>47</v>
      </c>
      <c r="D59" s="5" t="s">
        <v>13</v>
      </c>
      <c r="E59" s="13">
        <v>3309</v>
      </c>
      <c r="F59" s="14">
        <v>12097081</v>
      </c>
      <c r="G59" s="5" t="s">
        <v>21</v>
      </c>
    </row>
    <row r="60" spans="1:7" x14ac:dyDescent="0.3">
      <c r="A60" s="4" t="s">
        <v>12</v>
      </c>
      <c r="B60" s="24">
        <v>2010</v>
      </c>
      <c r="C60" s="4" t="s">
        <v>15</v>
      </c>
      <c r="D60" s="4" t="s">
        <v>28</v>
      </c>
      <c r="E60" s="15">
        <v>4153</v>
      </c>
      <c r="F60" s="16">
        <v>24478544</v>
      </c>
      <c r="G60" s="4" t="s">
        <v>16</v>
      </c>
    </row>
    <row r="61" spans="1:7" x14ac:dyDescent="0.3">
      <c r="A61" s="5" t="s">
        <v>12</v>
      </c>
      <c r="B61" s="23">
        <v>2009</v>
      </c>
      <c r="C61" s="5" t="s">
        <v>47</v>
      </c>
      <c r="D61" s="5" t="s">
        <v>30</v>
      </c>
      <c r="E61" s="13">
        <v>2341</v>
      </c>
      <c r="F61" s="14">
        <v>6385654</v>
      </c>
      <c r="G61" s="5" t="s">
        <v>21</v>
      </c>
    </row>
    <row r="62" spans="1:7" x14ac:dyDescent="0.3">
      <c r="A62" s="4" t="s">
        <v>5</v>
      </c>
      <c r="B62" s="24">
        <v>2008</v>
      </c>
      <c r="C62" s="4" t="s">
        <v>6</v>
      </c>
      <c r="D62" s="4" t="s">
        <v>29</v>
      </c>
      <c r="E62" s="15">
        <v>2291</v>
      </c>
      <c r="F62" s="16">
        <v>16130387</v>
      </c>
      <c r="G62" s="4" t="s">
        <v>31</v>
      </c>
    </row>
    <row r="63" spans="1:7" x14ac:dyDescent="0.3">
      <c r="A63" s="5" t="s">
        <v>26</v>
      </c>
      <c r="B63" s="23">
        <v>2008</v>
      </c>
      <c r="C63" s="5" t="s">
        <v>6</v>
      </c>
      <c r="D63" s="5" t="s">
        <v>29</v>
      </c>
      <c r="E63" s="13">
        <v>4638</v>
      </c>
      <c r="F63" s="14">
        <v>21936584</v>
      </c>
      <c r="G63" s="5" t="s">
        <v>31</v>
      </c>
    </row>
    <row r="64" spans="1:7" x14ac:dyDescent="0.3">
      <c r="A64" s="4" t="s">
        <v>26</v>
      </c>
      <c r="B64" s="24">
        <v>2009</v>
      </c>
      <c r="C64" s="4" t="s">
        <v>6</v>
      </c>
      <c r="D64" s="4" t="s">
        <v>13</v>
      </c>
      <c r="E64" s="15">
        <v>3000</v>
      </c>
      <c r="F64" s="16">
        <v>6264677</v>
      </c>
      <c r="G64" s="4" t="s">
        <v>31</v>
      </c>
    </row>
    <row r="65" spans="1:7" x14ac:dyDescent="0.3">
      <c r="A65" s="5" t="s">
        <v>22</v>
      </c>
      <c r="B65" s="23">
        <v>2010</v>
      </c>
      <c r="C65" s="5" t="s">
        <v>47</v>
      </c>
      <c r="D65" s="5" t="s">
        <v>13</v>
      </c>
      <c r="E65" s="13">
        <v>933</v>
      </c>
      <c r="F65" s="14">
        <v>17785852</v>
      </c>
      <c r="G65" s="5" t="s">
        <v>21</v>
      </c>
    </row>
    <row r="66" spans="1:7" x14ac:dyDescent="0.3">
      <c r="A66" s="4" t="s">
        <v>10</v>
      </c>
      <c r="B66" s="24">
        <v>2010</v>
      </c>
      <c r="C66" s="4" t="s">
        <v>15</v>
      </c>
      <c r="D66" s="4" t="s">
        <v>28</v>
      </c>
      <c r="E66" s="15">
        <v>2918</v>
      </c>
      <c r="F66" s="16">
        <v>18209808</v>
      </c>
      <c r="G66" s="4" t="s">
        <v>16</v>
      </c>
    </row>
    <row r="67" spans="1:7" x14ac:dyDescent="0.3">
      <c r="A67" s="5" t="s">
        <v>14</v>
      </c>
      <c r="B67" s="23">
        <v>2010</v>
      </c>
      <c r="C67" s="5" t="s">
        <v>33</v>
      </c>
      <c r="D67" s="5" t="s">
        <v>8</v>
      </c>
      <c r="E67" s="13">
        <v>3759</v>
      </c>
      <c r="F67" s="14">
        <v>9168379</v>
      </c>
      <c r="G67" s="5" t="s">
        <v>9</v>
      </c>
    </row>
    <row r="68" spans="1:7" x14ac:dyDescent="0.3">
      <c r="A68" s="4" t="s">
        <v>10</v>
      </c>
      <c r="B68" s="24">
        <v>2009</v>
      </c>
      <c r="C68" s="4" t="s">
        <v>6</v>
      </c>
      <c r="D68" s="4" t="s">
        <v>13</v>
      </c>
      <c r="E68" s="15">
        <v>981</v>
      </c>
      <c r="F68" s="16">
        <v>25986138</v>
      </c>
      <c r="G68" s="4" t="s">
        <v>31</v>
      </c>
    </row>
    <row r="69" spans="1:7" x14ac:dyDescent="0.3">
      <c r="A69" s="5" t="s">
        <v>7</v>
      </c>
      <c r="B69" s="23">
        <v>2010</v>
      </c>
      <c r="C69" s="5" t="s">
        <v>15</v>
      </c>
      <c r="D69" s="5" t="s">
        <v>28</v>
      </c>
      <c r="E69" s="13">
        <v>4242</v>
      </c>
      <c r="F69" s="14">
        <v>7839347</v>
      </c>
      <c r="G69" s="5" t="s">
        <v>16</v>
      </c>
    </row>
    <row r="70" spans="1:7" x14ac:dyDescent="0.3">
      <c r="A70" s="4" t="s">
        <v>20</v>
      </c>
      <c r="B70" s="24">
        <v>2008</v>
      </c>
      <c r="C70" s="4" t="s">
        <v>33</v>
      </c>
      <c r="D70" s="4" t="s">
        <v>29</v>
      </c>
      <c r="E70" s="15">
        <v>3055</v>
      </c>
      <c r="F70" s="16">
        <v>7878480</v>
      </c>
      <c r="G70" s="4" t="s">
        <v>9</v>
      </c>
    </row>
    <row r="71" spans="1:7" x14ac:dyDescent="0.3">
      <c r="A71" s="5" t="s">
        <v>20</v>
      </c>
      <c r="B71" s="23">
        <v>2010</v>
      </c>
      <c r="C71" s="5" t="s">
        <v>18</v>
      </c>
      <c r="D71" s="5" t="s">
        <v>28</v>
      </c>
      <c r="E71" s="13">
        <v>4271</v>
      </c>
      <c r="F71" s="14">
        <v>22379055</v>
      </c>
      <c r="G71" s="5" t="s">
        <v>19</v>
      </c>
    </row>
    <row r="72" spans="1:7" x14ac:dyDescent="0.3">
      <c r="A72" s="4" t="s">
        <v>26</v>
      </c>
      <c r="B72" s="24">
        <v>2010</v>
      </c>
      <c r="C72" s="4" t="s">
        <v>18</v>
      </c>
      <c r="D72" s="4" t="s">
        <v>29</v>
      </c>
      <c r="E72" s="15">
        <v>1398</v>
      </c>
      <c r="F72" s="16">
        <v>19471883</v>
      </c>
      <c r="G72" s="4" t="s">
        <v>19</v>
      </c>
    </row>
    <row r="73" spans="1:7" x14ac:dyDescent="0.3">
      <c r="A73" s="5" t="s">
        <v>22</v>
      </c>
      <c r="B73" s="23">
        <v>2009</v>
      </c>
      <c r="C73" s="5" t="s">
        <v>15</v>
      </c>
      <c r="D73" s="5" t="s">
        <v>11</v>
      </c>
      <c r="E73" s="13">
        <v>4836</v>
      </c>
      <c r="F73" s="14">
        <v>15867065</v>
      </c>
      <c r="G73" s="5" t="s">
        <v>16</v>
      </c>
    </row>
    <row r="74" spans="1:7" x14ac:dyDescent="0.3">
      <c r="A74" s="4" t="s">
        <v>24</v>
      </c>
      <c r="B74" s="24">
        <v>2010</v>
      </c>
      <c r="C74" s="4" t="s">
        <v>47</v>
      </c>
      <c r="D74" s="4" t="s">
        <v>30</v>
      </c>
      <c r="E74" s="15">
        <v>2734</v>
      </c>
      <c r="F74" s="16">
        <v>16356155</v>
      </c>
      <c r="G74" s="4" t="s">
        <v>21</v>
      </c>
    </row>
    <row r="75" spans="1:7" x14ac:dyDescent="0.3">
      <c r="A75" s="5" t="s">
        <v>5</v>
      </c>
      <c r="B75" s="23">
        <v>2010</v>
      </c>
      <c r="C75" s="5" t="s">
        <v>18</v>
      </c>
      <c r="D75" s="5" t="s">
        <v>29</v>
      </c>
      <c r="E75" s="13">
        <v>2507</v>
      </c>
      <c r="F75" s="14">
        <v>19832348</v>
      </c>
      <c r="G75" s="5" t="s">
        <v>19</v>
      </c>
    </row>
    <row r="76" spans="1:7" x14ac:dyDescent="0.3">
      <c r="A76" s="4" t="s">
        <v>23</v>
      </c>
      <c r="B76" s="24">
        <v>2010</v>
      </c>
      <c r="C76" s="4" t="s">
        <v>18</v>
      </c>
      <c r="D76" s="4" t="s">
        <v>29</v>
      </c>
      <c r="E76" s="15">
        <v>3669</v>
      </c>
      <c r="F76" s="16">
        <v>23375718</v>
      </c>
      <c r="G76" s="4" t="s">
        <v>19</v>
      </c>
    </row>
    <row r="77" spans="1:7" x14ac:dyDescent="0.3">
      <c r="A77" s="5" t="s">
        <v>24</v>
      </c>
      <c r="B77" s="23">
        <v>2008</v>
      </c>
      <c r="C77" s="5" t="s">
        <v>47</v>
      </c>
      <c r="D77" s="5" t="s">
        <v>28</v>
      </c>
      <c r="E77" s="13">
        <v>3261</v>
      </c>
      <c r="F77" s="14">
        <v>15535130</v>
      </c>
      <c r="G77" s="5" t="s">
        <v>21</v>
      </c>
    </row>
    <row r="78" spans="1:7" x14ac:dyDescent="0.3">
      <c r="A78" s="4" t="s">
        <v>14</v>
      </c>
      <c r="B78" s="24">
        <v>2010</v>
      </c>
      <c r="C78" s="4" t="s">
        <v>15</v>
      </c>
      <c r="D78" s="4" t="s">
        <v>28</v>
      </c>
      <c r="E78" s="15">
        <v>3338</v>
      </c>
      <c r="F78" s="16">
        <v>30817683</v>
      </c>
      <c r="G78" s="4" t="s">
        <v>16</v>
      </c>
    </row>
    <row r="79" spans="1:7" x14ac:dyDescent="0.3">
      <c r="A79" s="5" t="s">
        <v>5</v>
      </c>
      <c r="B79" s="23">
        <v>2009</v>
      </c>
      <c r="C79" s="5" t="s">
        <v>47</v>
      </c>
      <c r="D79" s="5" t="s">
        <v>29</v>
      </c>
      <c r="E79" s="13">
        <v>2310</v>
      </c>
      <c r="F79" s="14">
        <v>25516215</v>
      </c>
      <c r="G79" s="5" t="s">
        <v>21</v>
      </c>
    </row>
    <row r="80" spans="1:7" x14ac:dyDescent="0.3">
      <c r="A80" s="4" t="s">
        <v>26</v>
      </c>
      <c r="B80" s="24">
        <v>2010</v>
      </c>
      <c r="C80" s="4" t="s">
        <v>47</v>
      </c>
      <c r="D80" s="4" t="s">
        <v>30</v>
      </c>
      <c r="E80" s="15">
        <v>3365</v>
      </c>
      <c r="F80" s="16">
        <v>19324281</v>
      </c>
      <c r="G80" s="4" t="s">
        <v>21</v>
      </c>
    </row>
    <row r="81" spans="1:7" x14ac:dyDescent="0.3">
      <c r="A81" s="5" t="s">
        <v>14</v>
      </c>
      <c r="B81" s="23">
        <v>2009</v>
      </c>
      <c r="C81" s="5" t="s">
        <v>6</v>
      </c>
      <c r="D81" s="5" t="s">
        <v>30</v>
      </c>
      <c r="E81" s="13">
        <v>2102</v>
      </c>
      <c r="F81" s="14">
        <v>6364343</v>
      </c>
      <c r="G81" s="5" t="s">
        <v>31</v>
      </c>
    </row>
    <row r="82" spans="1:7" x14ac:dyDescent="0.3">
      <c r="A82" s="4" t="s">
        <v>24</v>
      </c>
      <c r="B82" s="24">
        <v>2008</v>
      </c>
      <c r="C82" s="4" t="s">
        <v>6</v>
      </c>
      <c r="D82" s="4" t="s">
        <v>28</v>
      </c>
      <c r="E82" s="15">
        <v>3893</v>
      </c>
      <c r="F82" s="16">
        <v>15513284</v>
      </c>
      <c r="G82" s="4" t="s">
        <v>31</v>
      </c>
    </row>
    <row r="83" spans="1:7" x14ac:dyDescent="0.3">
      <c r="A83" s="5" t="s">
        <v>10</v>
      </c>
      <c r="B83" s="23">
        <v>2008</v>
      </c>
      <c r="C83" s="5" t="s">
        <v>47</v>
      </c>
      <c r="D83" s="5" t="s">
        <v>30</v>
      </c>
      <c r="E83" s="13">
        <v>3399</v>
      </c>
      <c r="F83" s="14">
        <v>23606354</v>
      </c>
      <c r="G83" s="5" t="s">
        <v>21</v>
      </c>
    </row>
    <row r="84" spans="1:7" x14ac:dyDescent="0.3">
      <c r="A84" s="4" t="s">
        <v>5</v>
      </c>
      <c r="B84" s="24">
        <v>2010</v>
      </c>
      <c r="C84" s="4" t="s">
        <v>33</v>
      </c>
      <c r="D84" s="4" t="s">
        <v>8</v>
      </c>
      <c r="E84" s="15">
        <v>3439</v>
      </c>
      <c r="F84" s="16">
        <v>30486465</v>
      </c>
      <c r="G84" s="4" t="s">
        <v>9</v>
      </c>
    </row>
    <row r="85" spans="1:7" x14ac:dyDescent="0.3">
      <c r="A85" s="5" t="s">
        <v>12</v>
      </c>
      <c r="B85" s="23">
        <v>2008</v>
      </c>
      <c r="C85" s="5" t="s">
        <v>6</v>
      </c>
      <c r="D85" s="5" t="s">
        <v>8</v>
      </c>
      <c r="E85" s="13">
        <v>4058</v>
      </c>
      <c r="F85" s="14">
        <v>30435593</v>
      </c>
      <c r="G85" s="5" t="s">
        <v>31</v>
      </c>
    </row>
    <row r="86" spans="1:7" x14ac:dyDescent="0.3">
      <c r="A86" s="4" t="s">
        <v>14</v>
      </c>
      <c r="B86" s="24">
        <v>2009</v>
      </c>
      <c r="C86" s="4" t="s">
        <v>33</v>
      </c>
      <c r="D86" s="4" t="s">
        <v>11</v>
      </c>
      <c r="E86" s="15">
        <v>1127</v>
      </c>
      <c r="F86" s="16">
        <v>13363854</v>
      </c>
      <c r="G86" s="4" t="s">
        <v>9</v>
      </c>
    </row>
    <row r="87" spans="1:7" x14ac:dyDescent="0.3">
      <c r="A87" s="5" t="s">
        <v>25</v>
      </c>
      <c r="B87" s="23">
        <v>2009</v>
      </c>
      <c r="C87" s="5" t="s">
        <v>18</v>
      </c>
      <c r="D87" s="5" t="s">
        <v>29</v>
      </c>
      <c r="E87" s="13">
        <v>4150</v>
      </c>
      <c r="F87" s="14">
        <v>26091699</v>
      </c>
      <c r="G87" s="5" t="s">
        <v>19</v>
      </c>
    </row>
    <row r="88" spans="1:7" x14ac:dyDescent="0.3">
      <c r="A88" s="4" t="s">
        <v>23</v>
      </c>
      <c r="B88" s="24">
        <v>2008</v>
      </c>
      <c r="C88" s="4" t="s">
        <v>18</v>
      </c>
      <c r="D88" s="4" t="s">
        <v>28</v>
      </c>
      <c r="E88" s="15">
        <v>928</v>
      </c>
      <c r="F88" s="16">
        <v>20233647</v>
      </c>
      <c r="G88" s="4" t="s">
        <v>19</v>
      </c>
    </row>
    <row r="89" spans="1:7" x14ac:dyDescent="0.3">
      <c r="A89" s="5" t="s">
        <v>17</v>
      </c>
      <c r="B89" s="23">
        <v>2010</v>
      </c>
      <c r="C89" s="5" t="s">
        <v>33</v>
      </c>
      <c r="D89" s="5" t="s">
        <v>30</v>
      </c>
      <c r="E89" s="13">
        <v>4169</v>
      </c>
      <c r="F89" s="14">
        <v>21416077</v>
      </c>
      <c r="G89" s="5" t="s">
        <v>9</v>
      </c>
    </row>
    <row r="90" spans="1:7" x14ac:dyDescent="0.3">
      <c r="A90" s="4" t="s">
        <v>14</v>
      </c>
      <c r="B90" s="24">
        <v>2008</v>
      </c>
      <c r="C90" s="4" t="s">
        <v>15</v>
      </c>
      <c r="D90" s="4" t="s">
        <v>8</v>
      </c>
      <c r="E90" s="15">
        <v>4754</v>
      </c>
      <c r="F90" s="16">
        <v>20896240</v>
      </c>
      <c r="G90" s="4" t="s">
        <v>16</v>
      </c>
    </row>
    <row r="91" spans="1:7" x14ac:dyDescent="0.3">
      <c r="A91" s="5" t="s">
        <v>25</v>
      </c>
      <c r="B91" s="23">
        <v>2010</v>
      </c>
      <c r="C91" s="5" t="s">
        <v>6</v>
      </c>
      <c r="D91" s="5" t="s">
        <v>11</v>
      </c>
      <c r="E91" s="13">
        <v>2030</v>
      </c>
      <c r="F91" s="14">
        <v>26065419</v>
      </c>
      <c r="G91" s="5" t="s">
        <v>31</v>
      </c>
    </row>
    <row r="92" spans="1:7" x14ac:dyDescent="0.3">
      <c r="A92" s="4" t="s">
        <v>12</v>
      </c>
      <c r="B92" s="24">
        <v>2010</v>
      </c>
      <c r="C92" s="4" t="s">
        <v>47</v>
      </c>
      <c r="D92" s="4" t="s">
        <v>30</v>
      </c>
      <c r="E92" s="15">
        <v>1996</v>
      </c>
      <c r="F92" s="16">
        <v>23079163</v>
      </c>
      <c r="G92" s="4" t="s">
        <v>21</v>
      </c>
    </row>
    <row r="93" spans="1:7" x14ac:dyDescent="0.3">
      <c r="A93" s="5" t="s">
        <v>17</v>
      </c>
      <c r="B93" s="23">
        <v>2009</v>
      </c>
      <c r="C93" s="5" t="s">
        <v>47</v>
      </c>
      <c r="D93" s="5" t="s">
        <v>30</v>
      </c>
      <c r="E93" s="13">
        <v>983</v>
      </c>
      <c r="F93" s="14">
        <v>29014564</v>
      </c>
      <c r="G93" s="5" t="s">
        <v>21</v>
      </c>
    </row>
    <row r="94" spans="1:7" x14ac:dyDescent="0.3">
      <c r="A94" s="4" t="s">
        <v>20</v>
      </c>
      <c r="B94" s="24">
        <v>2010</v>
      </c>
      <c r="C94" s="4" t="s">
        <v>15</v>
      </c>
      <c r="D94" s="4" t="s">
        <v>8</v>
      </c>
      <c r="E94" s="15">
        <v>2109</v>
      </c>
      <c r="F94" s="16">
        <v>15430177</v>
      </c>
      <c r="G94" s="4" t="s">
        <v>16</v>
      </c>
    </row>
    <row r="95" spans="1:7" x14ac:dyDescent="0.3">
      <c r="A95" s="5" t="s">
        <v>7</v>
      </c>
      <c r="B95" s="23">
        <v>2008</v>
      </c>
      <c r="C95" s="5" t="s">
        <v>33</v>
      </c>
      <c r="D95" s="5" t="s">
        <v>30</v>
      </c>
      <c r="E95" s="13">
        <v>2619</v>
      </c>
      <c r="F95" s="14">
        <v>5540308</v>
      </c>
      <c r="G95" s="5" t="s">
        <v>9</v>
      </c>
    </row>
    <row r="96" spans="1:7" x14ac:dyDescent="0.3">
      <c r="A96" s="4" t="s">
        <v>5</v>
      </c>
      <c r="B96" s="24">
        <v>2010</v>
      </c>
      <c r="C96" s="4" t="s">
        <v>6</v>
      </c>
      <c r="D96" s="4" t="s">
        <v>13</v>
      </c>
      <c r="E96" s="15">
        <v>3508</v>
      </c>
      <c r="F96" s="16">
        <v>14196849</v>
      </c>
      <c r="G96" s="4" t="s">
        <v>31</v>
      </c>
    </row>
    <row r="97" spans="1:7" x14ac:dyDescent="0.3">
      <c r="A97" s="5" t="s">
        <v>26</v>
      </c>
      <c r="B97" s="23">
        <v>2009</v>
      </c>
      <c r="C97" s="5" t="s">
        <v>18</v>
      </c>
      <c r="D97" s="5" t="s">
        <v>11</v>
      </c>
      <c r="E97" s="13">
        <v>2096</v>
      </c>
      <c r="F97" s="14">
        <v>31378227</v>
      </c>
      <c r="G97" s="5" t="s">
        <v>19</v>
      </c>
    </row>
    <row r="98" spans="1:7" x14ac:dyDescent="0.3">
      <c r="A98" s="4" t="s">
        <v>14</v>
      </c>
      <c r="B98" s="24">
        <v>2008</v>
      </c>
      <c r="C98" s="4" t="s">
        <v>33</v>
      </c>
      <c r="D98" s="4" t="s">
        <v>13</v>
      </c>
      <c r="E98" s="15">
        <v>2537</v>
      </c>
      <c r="F98" s="16">
        <v>13677001</v>
      </c>
      <c r="G98" s="4" t="s">
        <v>9</v>
      </c>
    </row>
    <row r="99" spans="1:7" x14ac:dyDescent="0.3">
      <c r="A99" s="5" t="s">
        <v>22</v>
      </c>
      <c r="B99" s="23">
        <v>2008</v>
      </c>
      <c r="C99" s="5" t="s">
        <v>6</v>
      </c>
      <c r="D99" s="5" t="s">
        <v>13</v>
      </c>
      <c r="E99" s="13">
        <v>1055</v>
      </c>
      <c r="F99" s="14">
        <v>5090135</v>
      </c>
      <c r="G99" s="5" t="s">
        <v>31</v>
      </c>
    </row>
    <row r="100" spans="1:7" x14ac:dyDescent="0.3">
      <c r="A100" s="4" t="s">
        <v>23</v>
      </c>
      <c r="B100" s="24">
        <v>2008</v>
      </c>
      <c r="C100" s="4" t="s">
        <v>15</v>
      </c>
      <c r="D100" s="4" t="s">
        <v>29</v>
      </c>
      <c r="E100" s="15">
        <v>3671</v>
      </c>
      <c r="F100" s="16">
        <v>23367335</v>
      </c>
      <c r="G100" s="4" t="s">
        <v>16</v>
      </c>
    </row>
    <row r="101" spans="1:7" x14ac:dyDescent="0.3">
      <c r="A101" s="5" t="s">
        <v>26</v>
      </c>
      <c r="B101" s="23">
        <v>2010</v>
      </c>
      <c r="C101" s="5" t="s">
        <v>6</v>
      </c>
      <c r="D101" s="5" t="s">
        <v>11</v>
      </c>
      <c r="E101" s="13">
        <v>951</v>
      </c>
      <c r="F101" s="14">
        <v>11066989</v>
      </c>
      <c r="G101" s="5" t="s">
        <v>31</v>
      </c>
    </row>
    <row r="102" spans="1:7" x14ac:dyDescent="0.3">
      <c r="A102" s="4" t="s">
        <v>12</v>
      </c>
      <c r="B102" s="24">
        <v>2009</v>
      </c>
      <c r="C102" s="4" t="s">
        <v>18</v>
      </c>
      <c r="D102" s="4" t="s">
        <v>13</v>
      </c>
      <c r="E102" s="15">
        <v>2413</v>
      </c>
      <c r="F102" s="16">
        <v>11217929</v>
      </c>
      <c r="G102" s="4" t="s">
        <v>19</v>
      </c>
    </row>
    <row r="103" spans="1:7" x14ac:dyDescent="0.3">
      <c r="A103" s="5" t="s">
        <v>26</v>
      </c>
      <c r="B103" s="23">
        <v>2010</v>
      </c>
      <c r="C103" s="5" t="s">
        <v>15</v>
      </c>
      <c r="D103" s="5" t="s">
        <v>28</v>
      </c>
      <c r="E103" s="13">
        <v>2018</v>
      </c>
      <c r="F103" s="14">
        <v>5608677</v>
      </c>
      <c r="G103" s="5" t="s">
        <v>16</v>
      </c>
    </row>
    <row r="104" spans="1:7" x14ac:dyDescent="0.3">
      <c r="A104" s="4" t="s">
        <v>12</v>
      </c>
      <c r="B104" s="24">
        <v>2009</v>
      </c>
      <c r="C104" s="4" t="s">
        <v>33</v>
      </c>
      <c r="D104" s="4" t="s">
        <v>8</v>
      </c>
      <c r="E104" s="15">
        <v>1292</v>
      </c>
      <c r="F104" s="16">
        <v>17359884</v>
      </c>
      <c r="G104" s="4" t="s">
        <v>9</v>
      </c>
    </row>
    <row r="105" spans="1:7" x14ac:dyDescent="0.3">
      <c r="A105" s="5" t="s">
        <v>22</v>
      </c>
      <c r="B105" s="23">
        <v>2008</v>
      </c>
      <c r="C105" s="5" t="s">
        <v>15</v>
      </c>
      <c r="D105" s="5" t="s">
        <v>28</v>
      </c>
      <c r="E105" s="13">
        <v>3684</v>
      </c>
      <c r="F105" s="14">
        <v>31929296</v>
      </c>
      <c r="G105" s="5" t="s">
        <v>16</v>
      </c>
    </row>
    <row r="106" spans="1:7" x14ac:dyDescent="0.3">
      <c r="A106" s="4" t="s">
        <v>14</v>
      </c>
      <c r="B106" s="24">
        <v>2008</v>
      </c>
      <c r="C106" s="4" t="s">
        <v>6</v>
      </c>
      <c r="D106" s="4" t="s">
        <v>30</v>
      </c>
      <c r="E106" s="15">
        <v>3452</v>
      </c>
      <c r="F106" s="16">
        <v>19813786</v>
      </c>
      <c r="G106" s="4" t="s">
        <v>31</v>
      </c>
    </row>
    <row r="107" spans="1:7" x14ac:dyDescent="0.3">
      <c r="A107" s="5" t="s">
        <v>20</v>
      </c>
      <c r="B107" s="23">
        <v>2008</v>
      </c>
      <c r="C107" s="5" t="s">
        <v>15</v>
      </c>
      <c r="D107" s="5" t="s">
        <v>8</v>
      </c>
      <c r="E107" s="13">
        <v>2815</v>
      </c>
      <c r="F107" s="14">
        <v>16917541</v>
      </c>
      <c r="G107" s="5" t="s">
        <v>16</v>
      </c>
    </row>
    <row r="108" spans="1:7" x14ac:dyDescent="0.3">
      <c r="A108" s="4" t="s">
        <v>10</v>
      </c>
      <c r="B108" s="24">
        <v>2009</v>
      </c>
      <c r="C108" s="4" t="s">
        <v>47</v>
      </c>
      <c r="D108" s="4" t="s">
        <v>29</v>
      </c>
      <c r="E108" s="15">
        <v>2260</v>
      </c>
      <c r="F108" s="16">
        <v>5126450</v>
      </c>
      <c r="G108" s="4" t="s">
        <v>21</v>
      </c>
    </row>
    <row r="109" spans="1:7" x14ac:dyDescent="0.3">
      <c r="A109" s="5" t="s">
        <v>7</v>
      </c>
      <c r="B109" s="23">
        <v>2010</v>
      </c>
      <c r="C109" s="5" t="s">
        <v>6</v>
      </c>
      <c r="D109" s="5" t="s">
        <v>13</v>
      </c>
      <c r="E109" s="13">
        <v>1308</v>
      </c>
      <c r="F109" s="14">
        <v>13992377</v>
      </c>
      <c r="G109" s="5" t="s">
        <v>31</v>
      </c>
    </row>
    <row r="110" spans="1:7" x14ac:dyDescent="0.3">
      <c r="A110" s="4" t="s">
        <v>5</v>
      </c>
      <c r="B110" s="24">
        <v>2008</v>
      </c>
      <c r="C110" s="4" t="s">
        <v>47</v>
      </c>
      <c r="D110" s="4" t="s">
        <v>11</v>
      </c>
      <c r="E110" s="15">
        <v>4125</v>
      </c>
      <c r="F110" s="16">
        <v>6788991</v>
      </c>
      <c r="G110" s="4" t="s">
        <v>21</v>
      </c>
    </row>
    <row r="111" spans="1:7" x14ac:dyDescent="0.3">
      <c r="A111" s="5" t="s">
        <v>12</v>
      </c>
      <c r="B111" s="23">
        <v>2009</v>
      </c>
      <c r="C111" s="5" t="s">
        <v>15</v>
      </c>
      <c r="D111" s="5" t="s">
        <v>30</v>
      </c>
      <c r="E111" s="13">
        <v>3695</v>
      </c>
      <c r="F111" s="14">
        <v>26752434</v>
      </c>
      <c r="G111" s="5" t="s">
        <v>16</v>
      </c>
    </row>
    <row r="112" spans="1:7" x14ac:dyDescent="0.3">
      <c r="A112" s="4" t="s">
        <v>7</v>
      </c>
      <c r="B112" s="24">
        <v>2009</v>
      </c>
      <c r="C112" s="4" t="s">
        <v>15</v>
      </c>
      <c r="D112" s="4" t="s">
        <v>8</v>
      </c>
      <c r="E112" s="15">
        <v>2650</v>
      </c>
      <c r="F112" s="16">
        <v>30372259</v>
      </c>
      <c r="G112" s="4" t="s">
        <v>16</v>
      </c>
    </row>
    <row r="113" spans="1:7" x14ac:dyDescent="0.3">
      <c r="A113" s="5" t="s">
        <v>14</v>
      </c>
      <c r="B113" s="23">
        <v>2008</v>
      </c>
      <c r="C113" s="5" t="s">
        <v>18</v>
      </c>
      <c r="D113" s="5" t="s">
        <v>30</v>
      </c>
      <c r="E113" s="13">
        <v>3696</v>
      </c>
      <c r="F113" s="14">
        <v>10106212</v>
      </c>
      <c r="G113" s="5" t="s">
        <v>19</v>
      </c>
    </row>
    <row r="114" spans="1:7" x14ac:dyDescent="0.3">
      <c r="A114" s="4" t="s">
        <v>17</v>
      </c>
      <c r="B114" s="24">
        <v>2009</v>
      </c>
      <c r="C114" s="4" t="s">
        <v>6</v>
      </c>
      <c r="D114" s="4" t="s">
        <v>8</v>
      </c>
      <c r="E114" s="15">
        <v>3385</v>
      </c>
      <c r="F114" s="16">
        <v>23594558</v>
      </c>
      <c r="G114" s="4" t="s">
        <v>31</v>
      </c>
    </row>
    <row r="115" spans="1:7" x14ac:dyDescent="0.3">
      <c r="A115" s="5" t="s">
        <v>12</v>
      </c>
      <c r="B115" s="23">
        <v>2008</v>
      </c>
      <c r="C115" s="5" t="s">
        <v>18</v>
      </c>
      <c r="D115" s="5" t="s">
        <v>29</v>
      </c>
      <c r="E115" s="13">
        <v>2607</v>
      </c>
      <c r="F115" s="14">
        <v>6428849</v>
      </c>
      <c r="G115" s="5" t="s">
        <v>19</v>
      </c>
    </row>
    <row r="116" spans="1:7" x14ac:dyDescent="0.3">
      <c r="A116" s="4" t="s">
        <v>17</v>
      </c>
      <c r="B116" s="24">
        <v>2010</v>
      </c>
      <c r="C116" s="4" t="s">
        <v>47</v>
      </c>
      <c r="D116" s="4" t="s">
        <v>13</v>
      </c>
      <c r="E116" s="15">
        <v>3454</v>
      </c>
      <c r="F116" s="16">
        <v>5855114</v>
      </c>
      <c r="G116" s="4" t="s">
        <v>21</v>
      </c>
    </row>
    <row r="117" spans="1:7" x14ac:dyDescent="0.3">
      <c r="A117" s="5" t="s">
        <v>14</v>
      </c>
      <c r="B117" s="23">
        <v>2010</v>
      </c>
      <c r="C117" s="5" t="s">
        <v>6</v>
      </c>
      <c r="D117" s="5" t="s">
        <v>13</v>
      </c>
      <c r="E117" s="13">
        <v>1026</v>
      </c>
      <c r="F117" s="14">
        <v>23182580</v>
      </c>
      <c r="G117" s="5" t="s">
        <v>31</v>
      </c>
    </row>
    <row r="118" spans="1:7" x14ac:dyDescent="0.3">
      <c r="A118" s="4" t="s">
        <v>5</v>
      </c>
      <c r="B118" s="24">
        <v>2009</v>
      </c>
      <c r="C118" s="4" t="s">
        <v>15</v>
      </c>
      <c r="D118" s="4" t="s">
        <v>30</v>
      </c>
      <c r="E118" s="15">
        <v>4538</v>
      </c>
      <c r="F118" s="16">
        <v>12131878</v>
      </c>
      <c r="G118" s="4" t="s">
        <v>16</v>
      </c>
    </row>
    <row r="119" spans="1:7" x14ac:dyDescent="0.3">
      <c r="A119" s="5" t="s">
        <v>12</v>
      </c>
      <c r="B119" s="23">
        <v>2010</v>
      </c>
      <c r="C119" s="5" t="s">
        <v>33</v>
      </c>
      <c r="D119" s="5" t="s">
        <v>8</v>
      </c>
      <c r="E119" s="13">
        <v>2634</v>
      </c>
      <c r="F119" s="14">
        <v>14483060</v>
      </c>
      <c r="G119" s="5" t="s">
        <v>9</v>
      </c>
    </row>
    <row r="120" spans="1:7" x14ac:dyDescent="0.3">
      <c r="A120" s="4" t="s">
        <v>24</v>
      </c>
      <c r="B120" s="24">
        <v>2009</v>
      </c>
      <c r="C120" s="4" t="s">
        <v>47</v>
      </c>
      <c r="D120" s="4" t="s">
        <v>28</v>
      </c>
      <c r="E120" s="15">
        <v>4983</v>
      </c>
      <c r="F120" s="16">
        <v>18114279</v>
      </c>
      <c r="G120" s="4" t="s">
        <v>21</v>
      </c>
    </row>
    <row r="121" spans="1:7" x14ac:dyDescent="0.3">
      <c r="A121" s="5" t="s">
        <v>10</v>
      </c>
      <c r="B121" s="23">
        <v>2009</v>
      </c>
      <c r="C121" s="5" t="s">
        <v>15</v>
      </c>
      <c r="D121" s="5" t="s">
        <v>11</v>
      </c>
      <c r="E121" s="13">
        <v>2133</v>
      </c>
      <c r="F121" s="14">
        <v>24566041</v>
      </c>
      <c r="G121" s="5" t="s">
        <v>16</v>
      </c>
    </row>
    <row r="122" spans="1:7" x14ac:dyDescent="0.3">
      <c r="A122" s="4" t="s">
        <v>26</v>
      </c>
      <c r="B122" s="24">
        <v>2010</v>
      </c>
      <c r="C122" s="4" t="s">
        <v>33</v>
      </c>
      <c r="D122" s="4" t="s">
        <v>8</v>
      </c>
      <c r="E122" s="15">
        <v>4066</v>
      </c>
      <c r="F122" s="16">
        <v>21530703</v>
      </c>
      <c r="G122" s="4" t="s">
        <v>9</v>
      </c>
    </row>
    <row r="123" spans="1:7" x14ac:dyDescent="0.3">
      <c r="A123" s="5" t="s">
        <v>17</v>
      </c>
      <c r="B123" s="23">
        <v>2008</v>
      </c>
      <c r="C123" s="5" t="s">
        <v>47</v>
      </c>
      <c r="D123" s="5" t="s">
        <v>29</v>
      </c>
      <c r="E123" s="13">
        <v>3750</v>
      </c>
      <c r="F123" s="14">
        <v>24348714</v>
      </c>
      <c r="G123" s="5" t="s">
        <v>21</v>
      </c>
    </row>
    <row r="124" spans="1:7" x14ac:dyDescent="0.3">
      <c r="A124" s="4" t="s">
        <v>23</v>
      </c>
      <c r="B124" s="24">
        <v>2009</v>
      </c>
      <c r="C124" s="4" t="s">
        <v>18</v>
      </c>
      <c r="D124" s="4" t="s">
        <v>8</v>
      </c>
      <c r="E124" s="15">
        <v>1116</v>
      </c>
      <c r="F124" s="16">
        <v>12483245</v>
      </c>
      <c r="G124" s="4" t="s">
        <v>19</v>
      </c>
    </row>
    <row r="125" spans="1:7" x14ac:dyDescent="0.3">
      <c r="A125" s="5" t="s">
        <v>23</v>
      </c>
      <c r="B125" s="23">
        <v>2008</v>
      </c>
      <c r="C125" s="5" t="s">
        <v>33</v>
      </c>
      <c r="D125" s="5" t="s">
        <v>8</v>
      </c>
      <c r="E125" s="13">
        <v>2627</v>
      </c>
      <c r="F125" s="14">
        <v>9299840</v>
      </c>
      <c r="G125" s="5" t="s">
        <v>9</v>
      </c>
    </row>
    <row r="126" spans="1:7" x14ac:dyDescent="0.3">
      <c r="A126" s="4" t="s">
        <v>26</v>
      </c>
      <c r="B126" s="24">
        <v>2008</v>
      </c>
      <c r="C126" s="4" t="s">
        <v>47</v>
      </c>
      <c r="D126" s="4" t="s">
        <v>8</v>
      </c>
      <c r="E126" s="15">
        <v>4397</v>
      </c>
      <c r="F126" s="16">
        <v>26381433</v>
      </c>
      <c r="G126" s="4" t="s">
        <v>21</v>
      </c>
    </row>
    <row r="127" spans="1:7" x14ac:dyDescent="0.3">
      <c r="A127" s="5" t="s">
        <v>24</v>
      </c>
      <c r="B127" s="23">
        <v>2009</v>
      </c>
      <c r="C127" s="5" t="s">
        <v>18</v>
      </c>
      <c r="D127" s="5" t="s">
        <v>8</v>
      </c>
      <c r="E127" s="13">
        <v>3717</v>
      </c>
      <c r="F127" s="14">
        <v>16039246</v>
      </c>
      <c r="G127" s="5" t="s">
        <v>19</v>
      </c>
    </row>
    <row r="128" spans="1:7" x14ac:dyDescent="0.3">
      <c r="A128" s="4" t="s">
        <v>26</v>
      </c>
      <c r="B128" s="24">
        <v>2009</v>
      </c>
      <c r="C128" s="4" t="s">
        <v>47</v>
      </c>
      <c r="D128" s="4" t="s">
        <v>29</v>
      </c>
      <c r="E128" s="15">
        <v>2754</v>
      </c>
      <c r="F128" s="16">
        <v>31553984</v>
      </c>
      <c r="G128" s="4" t="s">
        <v>21</v>
      </c>
    </row>
    <row r="129" spans="1:7" x14ac:dyDescent="0.3">
      <c r="A129" s="5" t="s">
        <v>25</v>
      </c>
      <c r="B129" s="23">
        <v>2009</v>
      </c>
      <c r="C129" s="5" t="s">
        <v>15</v>
      </c>
      <c r="D129" s="5" t="s">
        <v>28</v>
      </c>
      <c r="E129" s="13">
        <v>932</v>
      </c>
      <c r="F129" s="14">
        <v>17647949</v>
      </c>
      <c r="G129" s="5" t="s">
        <v>16</v>
      </c>
    </row>
    <row r="130" spans="1:7" x14ac:dyDescent="0.3">
      <c r="A130" s="4" t="s">
        <v>24</v>
      </c>
      <c r="B130" s="24">
        <v>2008</v>
      </c>
      <c r="C130" s="4" t="s">
        <v>15</v>
      </c>
      <c r="D130" s="4" t="s">
        <v>13</v>
      </c>
      <c r="E130" s="15">
        <v>4858</v>
      </c>
      <c r="F130" s="16">
        <v>13669395</v>
      </c>
      <c r="G130" s="4" t="s">
        <v>16</v>
      </c>
    </row>
    <row r="131" spans="1:7" x14ac:dyDescent="0.3">
      <c r="A131" s="5" t="s">
        <v>23</v>
      </c>
      <c r="B131" s="23">
        <v>2010</v>
      </c>
      <c r="C131" s="5" t="s">
        <v>6</v>
      </c>
      <c r="D131" s="5" t="s">
        <v>13</v>
      </c>
      <c r="E131" s="13">
        <v>4562</v>
      </c>
      <c r="F131" s="14">
        <v>10629130</v>
      </c>
      <c r="G131" s="5" t="s">
        <v>31</v>
      </c>
    </row>
    <row r="132" spans="1:7" x14ac:dyDescent="0.3">
      <c r="A132" s="4" t="s">
        <v>17</v>
      </c>
      <c r="B132" s="24">
        <v>2009</v>
      </c>
      <c r="C132" s="4" t="s">
        <v>33</v>
      </c>
      <c r="D132" s="4" t="s">
        <v>28</v>
      </c>
      <c r="E132" s="15">
        <v>4134</v>
      </c>
      <c r="F132" s="16">
        <v>27692129</v>
      </c>
      <c r="G132" s="4" t="s">
        <v>9</v>
      </c>
    </row>
    <row r="133" spans="1:7" x14ac:dyDescent="0.3">
      <c r="A133" s="5" t="s">
        <v>7</v>
      </c>
      <c r="B133" s="23">
        <v>2009</v>
      </c>
      <c r="C133" s="5" t="s">
        <v>6</v>
      </c>
      <c r="D133" s="5" t="s">
        <v>28</v>
      </c>
      <c r="E133" s="13">
        <v>3190</v>
      </c>
      <c r="F133" s="14">
        <v>19446356</v>
      </c>
      <c r="G133" s="5" t="s">
        <v>31</v>
      </c>
    </row>
    <row r="134" spans="1:7" x14ac:dyDescent="0.3">
      <c r="A134" s="4" t="s">
        <v>10</v>
      </c>
      <c r="B134" s="24">
        <v>2009</v>
      </c>
      <c r="C134" s="4" t="s">
        <v>18</v>
      </c>
      <c r="D134" s="4" t="s">
        <v>28</v>
      </c>
      <c r="E134" s="15">
        <v>3905</v>
      </c>
      <c r="F134" s="16">
        <v>10579704</v>
      </c>
      <c r="G134" s="4" t="s">
        <v>19</v>
      </c>
    </row>
    <row r="135" spans="1:7" x14ac:dyDescent="0.3">
      <c r="A135" s="5" t="s">
        <v>25</v>
      </c>
      <c r="B135" s="23">
        <v>2008</v>
      </c>
      <c r="C135" s="5" t="s">
        <v>18</v>
      </c>
      <c r="D135" s="5" t="s">
        <v>28</v>
      </c>
      <c r="E135" s="13">
        <v>1807</v>
      </c>
      <c r="F135" s="14">
        <v>18002618</v>
      </c>
      <c r="G135" s="5" t="s">
        <v>19</v>
      </c>
    </row>
    <row r="136" spans="1:7" x14ac:dyDescent="0.3">
      <c r="A136" s="4" t="s">
        <v>7</v>
      </c>
      <c r="B136" s="24">
        <v>2010</v>
      </c>
      <c r="C136" s="4" t="s">
        <v>18</v>
      </c>
      <c r="D136" s="4" t="s">
        <v>29</v>
      </c>
      <c r="E136" s="15">
        <v>1243</v>
      </c>
      <c r="F136" s="16">
        <v>9319345</v>
      </c>
      <c r="G136" s="4" t="s">
        <v>19</v>
      </c>
    </row>
    <row r="137" spans="1:7" x14ac:dyDescent="0.3">
      <c r="A137" s="5" t="s">
        <v>22</v>
      </c>
      <c r="B137" s="23">
        <v>2008</v>
      </c>
      <c r="C137" s="5" t="s">
        <v>18</v>
      </c>
      <c r="D137" s="5" t="s">
        <v>29</v>
      </c>
      <c r="E137" s="13">
        <v>4810</v>
      </c>
      <c r="F137" s="14">
        <v>30765033</v>
      </c>
      <c r="G137" s="5" t="s">
        <v>19</v>
      </c>
    </row>
    <row r="138" spans="1:7" x14ac:dyDescent="0.3">
      <c r="A138" s="4" t="s">
        <v>25</v>
      </c>
      <c r="B138" s="24">
        <v>2008</v>
      </c>
      <c r="C138" s="4" t="s">
        <v>47</v>
      </c>
      <c r="D138" s="4" t="s">
        <v>13</v>
      </c>
      <c r="E138" s="15">
        <v>3009</v>
      </c>
      <c r="F138" s="16">
        <v>11257947</v>
      </c>
      <c r="G138" s="4" t="s">
        <v>21</v>
      </c>
    </row>
    <row r="139" spans="1:7" x14ac:dyDescent="0.3">
      <c r="A139" s="5" t="s">
        <v>17</v>
      </c>
      <c r="B139" s="23">
        <v>2009</v>
      </c>
      <c r="C139" s="5" t="s">
        <v>15</v>
      </c>
      <c r="D139" s="5" t="s">
        <v>8</v>
      </c>
      <c r="E139" s="13">
        <v>2936</v>
      </c>
      <c r="F139" s="14">
        <v>26855207</v>
      </c>
      <c r="G139" s="5" t="s">
        <v>16</v>
      </c>
    </row>
    <row r="140" spans="1:7" x14ac:dyDescent="0.3">
      <c r="A140" s="4" t="s">
        <v>23</v>
      </c>
      <c r="B140" s="24">
        <v>2009</v>
      </c>
      <c r="C140" s="4" t="s">
        <v>33</v>
      </c>
      <c r="D140" s="4" t="s">
        <v>30</v>
      </c>
      <c r="E140" s="15">
        <v>4425</v>
      </c>
      <c r="F140" s="16">
        <v>5870101</v>
      </c>
      <c r="G140" s="4" t="s">
        <v>9</v>
      </c>
    </row>
    <row r="141" spans="1:7" x14ac:dyDescent="0.3">
      <c r="A141" s="5" t="s">
        <v>5</v>
      </c>
      <c r="B141" s="23">
        <v>2010</v>
      </c>
      <c r="C141" s="5" t="s">
        <v>15</v>
      </c>
      <c r="D141" s="5" t="s">
        <v>28</v>
      </c>
      <c r="E141" s="13">
        <v>1425</v>
      </c>
      <c r="F141" s="14">
        <v>17959045</v>
      </c>
      <c r="G141" s="5" t="s">
        <v>16</v>
      </c>
    </row>
    <row r="142" spans="1:7" x14ac:dyDescent="0.3">
      <c r="A142" s="4" t="s">
        <v>17</v>
      </c>
      <c r="B142" s="24">
        <v>2010</v>
      </c>
      <c r="C142" s="4" t="s">
        <v>18</v>
      </c>
      <c r="D142" s="4" t="s">
        <v>13</v>
      </c>
      <c r="E142" s="15">
        <v>3044</v>
      </c>
      <c r="F142" s="16">
        <v>11783323</v>
      </c>
      <c r="G142" s="4" t="s">
        <v>19</v>
      </c>
    </row>
    <row r="143" spans="1:7" x14ac:dyDescent="0.3">
      <c r="A143" s="5" t="s">
        <v>24</v>
      </c>
      <c r="B143" s="23">
        <v>2008</v>
      </c>
      <c r="C143" s="5" t="s">
        <v>18</v>
      </c>
      <c r="D143" s="5" t="s">
        <v>29</v>
      </c>
      <c r="E143" s="13">
        <v>4951</v>
      </c>
      <c r="F143" s="14">
        <v>12222666</v>
      </c>
      <c r="G143" s="5" t="s">
        <v>19</v>
      </c>
    </row>
    <row r="144" spans="1:7" x14ac:dyDescent="0.3">
      <c r="A144" s="4" t="s">
        <v>22</v>
      </c>
      <c r="B144" s="24">
        <v>2009</v>
      </c>
      <c r="C144" s="4" t="s">
        <v>6</v>
      </c>
      <c r="D144" s="4" t="s">
        <v>28</v>
      </c>
      <c r="E144" s="15">
        <v>2566</v>
      </c>
      <c r="F144" s="16">
        <v>21006431</v>
      </c>
      <c r="G144" s="4" t="s">
        <v>31</v>
      </c>
    </row>
    <row r="145" spans="1:7" x14ac:dyDescent="0.3">
      <c r="A145" s="5" t="s">
        <v>25</v>
      </c>
      <c r="B145" s="23">
        <v>2009</v>
      </c>
      <c r="C145" s="5" t="s">
        <v>47</v>
      </c>
      <c r="D145" s="5" t="s">
        <v>8</v>
      </c>
      <c r="E145" s="13">
        <v>3925</v>
      </c>
      <c r="F145" s="14">
        <v>24435739</v>
      </c>
      <c r="G145" s="5" t="s">
        <v>21</v>
      </c>
    </row>
    <row r="146" spans="1:7" x14ac:dyDescent="0.3">
      <c r="A146" s="4" t="s">
        <v>25</v>
      </c>
      <c r="B146" s="24">
        <v>2010</v>
      </c>
      <c r="C146" s="4" t="s">
        <v>33</v>
      </c>
      <c r="D146" s="4" t="s">
        <v>8</v>
      </c>
      <c r="E146" s="15">
        <v>4261</v>
      </c>
      <c r="F146" s="16">
        <v>15874389</v>
      </c>
      <c r="G146" s="4" t="s">
        <v>9</v>
      </c>
    </row>
    <row r="147" spans="1:7" x14ac:dyDescent="0.3">
      <c r="A147" s="5" t="s">
        <v>26</v>
      </c>
      <c r="B147" s="23">
        <v>2008</v>
      </c>
      <c r="C147" s="5" t="s">
        <v>15</v>
      </c>
      <c r="D147" s="5" t="s">
        <v>30</v>
      </c>
      <c r="E147" s="13">
        <v>1546</v>
      </c>
      <c r="F147" s="14">
        <v>24898288</v>
      </c>
      <c r="G147" s="5" t="s">
        <v>16</v>
      </c>
    </row>
    <row r="148" spans="1:7" x14ac:dyDescent="0.3">
      <c r="A148" s="4" t="s">
        <v>26</v>
      </c>
      <c r="B148" s="24">
        <v>2008</v>
      </c>
      <c r="C148" s="4" t="s">
        <v>33</v>
      </c>
      <c r="D148" s="4" t="s">
        <v>29</v>
      </c>
      <c r="E148" s="15">
        <v>1162</v>
      </c>
      <c r="F148" s="16">
        <v>5792861</v>
      </c>
      <c r="G148" s="4" t="s">
        <v>9</v>
      </c>
    </row>
    <row r="149" spans="1:7" x14ac:dyDescent="0.3">
      <c r="A149" s="5" t="s">
        <v>23</v>
      </c>
      <c r="B149" s="23">
        <v>2009</v>
      </c>
      <c r="C149" s="5" t="s">
        <v>6</v>
      </c>
      <c r="D149" s="5" t="s">
        <v>8</v>
      </c>
      <c r="E149" s="13">
        <v>1526</v>
      </c>
      <c r="F149" s="14">
        <v>9658136</v>
      </c>
      <c r="G149" s="5" t="s">
        <v>31</v>
      </c>
    </row>
    <row r="150" spans="1:7" x14ac:dyDescent="0.3">
      <c r="A150" s="4" t="s">
        <v>23</v>
      </c>
      <c r="B150" s="24">
        <v>2009</v>
      </c>
      <c r="C150" s="4" t="s">
        <v>15</v>
      </c>
      <c r="D150" s="4" t="s">
        <v>30</v>
      </c>
      <c r="E150" s="15">
        <v>2538</v>
      </c>
      <c r="F150" s="16">
        <v>20260377</v>
      </c>
      <c r="G150" s="4" t="s">
        <v>16</v>
      </c>
    </row>
    <row r="151" spans="1:7" x14ac:dyDescent="0.3">
      <c r="A151" s="5" t="s">
        <v>23</v>
      </c>
      <c r="B151" s="23">
        <v>2010</v>
      </c>
      <c r="C151" s="5" t="s">
        <v>15</v>
      </c>
      <c r="D151" s="5" t="s">
        <v>28</v>
      </c>
      <c r="E151" s="13">
        <v>2613</v>
      </c>
      <c r="F151" s="14">
        <v>25398033</v>
      </c>
      <c r="G151" s="5" t="s">
        <v>16</v>
      </c>
    </row>
    <row r="152" spans="1:7" x14ac:dyDescent="0.3">
      <c r="A152" s="4" t="s">
        <v>17</v>
      </c>
      <c r="B152" s="24">
        <v>2008</v>
      </c>
      <c r="C152" s="4" t="s">
        <v>33</v>
      </c>
      <c r="D152" s="4" t="s">
        <v>11</v>
      </c>
      <c r="E152" s="15">
        <v>4851</v>
      </c>
      <c r="F152" s="16">
        <v>7999078</v>
      </c>
      <c r="G152" s="4" t="s">
        <v>9</v>
      </c>
    </row>
    <row r="153" spans="1:7" x14ac:dyDescent="0.3">
      <c r="A153" s="5" t="s">
        <v>7</v>
      </c>
      <c r="B153" s="23">
        <v>2008</v>
      </c>
      <c r="C153" s="5" t="s">
        <v>47</v>
      </c>
      <c r="D153" s="5" t="s">
        <v>13</v>
      </c>
      <c r="E153" s="13">
        <v>1539</v>
      </c>
      <c r="F153" s="14">
        <v>21394635</v>
      </c>
      <c r="G153" s="5" t="s">
        <v>21</v>
      </c>
    </row>
    <row r="154" spans="1:7" x14ac:dyDescent="0.3">
      <c r="A154" s="4" t="s">
        <v>24</v>
      </c>
      <c r="B154" s="24">
        <v>2009</v>
      </c>
      <c r="C154" s="4" t="s">
        <v>15</v>
      </c>
      <c r="D154" s="4" t="s">
        <v>30</v>
      </c>
      <c r="E154" s="15">
        <v>3726</v>
      </c>
      <c r="F154" s="16">
        <v>27800655</v>
      </c>
      <c r="G154" s="4" t="s">
        <v>16</v>
      </c>
    </row>
    <row r="155" spans="1:7" x14ac:dyDescent="0.3">
      <c r="A155" s="5" t="s">
        <v>24</v>
      </c>
      <c r="B155" s="23">
        <v>2010</v>
      </c>
      <c r="C155" s="5" t="s">
        <v>15</v>
      </c>
      <c r="D155" s="5" t="s">
        <v>28</v>
      </c>
      <c r="E155" s="13">
        <v>2167</v>
      </c>
      <c r="F155" s="14">
        <v>22960434</v>
      </c>
      <c r="G155" s="5" t="s">
        <v>16</v>
      </c>
    </row>
    <row r="156" spans="1:7" x14ac:dyDescent="0.3">
      <c r="A156" s="4" t="s">
        <v>12</v>
      </c>
      <c r="B156" s="24">
        <v>2010</v>
      </c>
      <c r="C156" s="4" t="s">
        <v>18</v>
      </c>
      <c r="D156" s="4" t="s">
        <v>29</v>
      </c>
      <c r="E156" s="15">
        <v>4132</v>
      </c>
      <c r="F156" s="16">
        <v>14165841</v>
      </c>
      <c r="G156" s="4" t="s">
        <v>19</v>
      </c>
    </row>
    <row r="157" spans="1:7" x14ac:dyDescent="0.3">
      <c r="A157" s="5" t="s">
        <v>25</v>
      </c>
      <c r="B157" s="23">
        <v>2010</v>
      </c>
      <c r="C157" s="5" t="s">
        <v>47</v>
      </c>
      <c r="D157" s="5" t="s">
        <v>30</v>
      </c>
      <c r="E157" s="13">
        <v>4811</v>
      </c>
      <c r="F157" s="14">
        <v>17156818</v>
      </c>
      <c r="G157" s="5" t="s">
        <v>21</v>
      </c>
    </row>
    <row r="158" spans="1:7" x14ac:dyDescent="0.3">
      <c r="A158" s="4" t="s">
        <v>10</v>
      </c>
      <c r="B158" s="24">
        <v>2010</v>
      </c>
      <c r="C158" s="4" t="s">
        <v>33</v>
      </c>
      <c r="D158" s="4" t="s">
        <v>8</v>
      </c>
      <c r="E158" s="15">
        <v>4210</v>
      </c>
      <c r="F158" s="16">
        <v>9226347</v>
      </c>
      <c r="G158" s="4" t="s">
        <v>9</v>
      </c>
    </row>
    <row r="159" spans="1:7" x14ac:dyDescent="0.3">
      <c r="A159" s="5" t="s">
        <v>24</v>
      </c>
      <c r="B159" s="23">
        <v>2010</v>
      </c>
      <c r="C159" s="5" t="s">
        <v>18</v>
      </c>
      <c r="D159" s="5" t="s">
        <v>29</v>
      </c>
      <c r="E159" s="13">
        <v>2163</v>
      </c>
      <c r="F159" s="14">
        <v>29503575</v>
      </c>
      <c r="G159" s="5" t="s">
        <v>19</v>
      </c>
    </row>
    <row r="160" spans="1:7" x14ac:dyDescent="0.3">
      <c r="A160" s="4" t="s">
        <v>5</v>
      </c>
      <c r="B160" s="24">
        <v>2008</v>
      </c>
      <c r="C160" s="4" t="s">
        <v>18</v>
      </c>
      <c r="D160" s="4" t="s">
        <v>8</v>
      </c>
      <c r="E160" s="15">
        <v>3863</v>
      </c>
      <c r="F160" s="16">
        <v>30389515</v>
      </c>
      <c r="G160" s="4" t="s">
        <v>19</v>
      </c>
    </row>
    <row r="161" spans="1:7" x14ac:dyDescent="0.3">
      <c r="A161" s="5" t="s">
        <v>24</v>
      </c>
      <c r="B161" s="23">
        <v>2009</v>
      </c>
      <c r="C161" s="5" t="s">
        <v>6</v>
      </c>
      <c r="D161" s="5" t="s">
        <v>8</v>
      </c>
      <c r="E161" s="13">
        <v>3710</v>
      </c>
      <c r="F161" s="14">
        <v>22140321</v>
      </c>
      <c r="G161" s="5" t="s">
        <v>31</v>
      </c>
    </row>
    <row r="162" spans="1:7" x14ac:dyDescent="0.3">
      <c r="A162" s="4" t="s">
        <v>10</v>
      </c>
      <c r="B162" s="24">
        <v>2008</v>
      </c>
      <c r="C162" s="4" t="s">
        <v>6</v>
      </c>
      <c r="D162" s="4" t="s">
        <v>28</v>
      </c>
      <c r="E162" s="15">
        <v>2659</v>
      </c>
      <c r="F162" s="16">
        <v>7919393</v>
      </c>
      <c r="G162" s="4" t="s">
        <v>31</v>
      </c>
    </row>
    <row r="163" spans="1:7" x14ac:dyDescent="0.3">
      <c r="A163" s="5" t="s">
        <v>22</v>
      </c>
      <c r="B163" s="23">
        <v>2010</v>
      </c>
      <c r="C163" s="5" t="s">
        <v>33</v>
      </c>
      <c r="D163" s="5" t="s">
        <v>29</v>
      </c>
      <c r="E163" s="13">
        <v>2531</v>
      </c>
      <c r="F163" s="14">
        <v>16944827</v>
      </c>
      <c r="G163" s="5" t="s">
        <v>9</v>
      </c>
    </row>
    <row r="164" spans="1:7" x14ac:dyDescent="0.3">
      <c r="A164" s="4" t="s">
        <v>12</v>
      </c>
      <c r="B164" s="24">
        <v>2009</v>
      </c>
      <c r="C164" s="4" t="s">
        <v>6</v>
      </c>
      <c r="D164" s="4" t="s">
        <v>8</v>
      </c>
      <c r="E164" s="15">
        <v>3971</v>
      </c>
      <c r="F164" s="16">
        <v>29989212</v>
      </c>
      <c r="G164" s="4" t="s">
        <v>31</v>
      </c>
    </row>
    <row r="165" spans="1:7" x14ac:dyDescent="0.3">
      <c r="A165" s="5" t="s">
        <v>20</v>
      </c>
      <c r="B165" s="23">
        <v>2008</v>
      </c>
      <c r="C165" s="5" t="s">
        <v>6</v>
      </c>
      <c r="D165" s="5" t="s">
        <v>30</v>
      </c>
      <c r="E165" s="13">
        <v>1023</v>
      </c>
      <c r="F165" s="14">
        <v>8057755</v>
      </c>
      <c r="G165" s="5" t="s">
        <v>31</v>
      </c>
    </row>
    <row r="166" spans="1:7" x14ac:dyDescent="0.3">
      <c r="A166" s="4" t="s">
        <v>10</v>
      </c>
      <c r="B166" s="24">
        <v>2008</v>
      </c>
      <c r="C166" s="4" t="s">
        <v>15</v>
      </c>
      <c r="D166" s="4" t="s">
        <v>13</v>
      </c>
      <c r="E166" s="15">
        <v>3761</v>
      </c>
      <c r="F166" s="16">
        <v>8066334</v>
      </c>
      <c r="G166" s="4" t="s">
        <v>16</v>
      </c>
    </row>
    <row r="167" spans="1:7" x14ac:dyDescent="0.3">
      <c r="A167" s="5" t="s">
        <v>10</v>
      </c>
      <c r="B167" s="23">
        <v>2010</v>
      </c>
      <c r="C167" s="5" t="s">
        <v>18</v>
      </c>
      <c r="D167" s="5" t="s">
        <v>29</v>
      </c>
      <c r="E167" s="13">
        <v>2264</v>
      </c>
      <c r="F167" s="14">
        <v>21708461</v>
      </c>
      <c r="G167" s="5" t="s">
        <v>19</v>
      </c>
    </row>
    <row r="168" spans="1:7" x14ac:dyDescent="0.3">
      <c r="A168" s="4" t="s">
        <v>26</v>
      </c>
      <c r="B168" s="24">
        <v>2008</v>
      </c>
      <c r="C168" s="4" t="s">
        <v>18</v>
      </c>
      <c r="D168" s="4" t="s">
        <v>28</v>
      </c>
      <c r="E168" s="15">
        <v>3983</v>
      </c>
      <c r="F168" s="16">
        <v>18755446</v>
      </c>
      <c r="G168" s="4" t="s">
        <v>19</v>
      </c>
    </row>
    <row r="169" spans="1:7" x14ac:dyDescent="0.3">
      <c r="A169" s="5" t="s">
        <v>12</v>
      </c>
      <c r="B169" s="23">
        <v>2008</v>
      </c>
      <c r="C169" s="5" t="s">
        <v>15</v>
      </c>
      <c r="D169" s="5" t="s">
        <v>28</v>
      </c>
      <c r="E169" s="13">
        <v>2697</v>
      </c>
      <c r="F169" s="14">
        <v>9662521</v>
      </c>
      <c r="G169" s="5" t="s">
        <v>16</v>
      </c>
    </row>
    <row r="170" spans="1:7" x14ac:dyDescent="0.3">
      <c r="A170" s="4" t="s">
        <v>22</v>
      </c>
      <c r="B170" s="24">
        <v>2009</v>
      </c>
      <c r="C170" s="4" t="s">
        <v>47</v>
      </c>
      <c r="D170" s="4" t="s">
        <v>11</v>
      </c>
      <c r="E170" s="15">
        <v>1018</v>
      </c>
      <c r="F170" s="16">
        <v>25078121</v>
      </c>
      <c r="G170" s="4" t="s">
        <v>21</v>
      </c>
    </row>
    <row r="171" spans="1:7" x14ac:dyDescent="0.3">
      <c r="A171" s="5" t="s">
        <v>20</v>
      </c>
      <c r="B171" s="23">
        <v>2008</v>
      </c>
      <c r="C171" s="5" t="s">
        <v>47</v>
      </c>
      <c r="D171" s="5" t="s">
        <v>28</v>
      </c>
      <c r="E171" s="13">
        <v>3533</v>
      </c>
      <c r="F171" s="14">
        <v>7658056</v>
      </c>
      <c r="G171" s="5" t="s">
        <v>21</v>
      </c>
    </row>
    <row r="172" spans="1:7" x14ac:dyDescent="0.3">
      <c r="A172" s="4" t="s">
        <v>22</v>
      </c>
      <c r="B172" s="24">
        <v>2008</v>
      </c>
      <c r="C172" s="4" t="s">
        <v>33</v>
      </c>
      <c r="D172" s="4" t="s">
        <v>8</v>
      </c>
      <c r="E172" s="15">
        <v>2893</v>
      </c>
      <c r="F172" s="16">
        <v>18318567</v>
      </c>
      <c r="G172" s="4" t="s">
        <v>9</v>
      </c>
    </row>
    <row r="173" spans="1:7" x14ac:dyDescent="0.3">
      <c r="A173" s="5" t="s">
        <v>24</v>
      </c>
      <c r="B173" s="23">
        <v>2010</v>
      </c>
      <c r="C173" s="5" t="s">
        <v>6</v>
      </c>
      <c r="D173" s="5" t="s">
        <v>11</v>
      </c>
      <c r="E173" s="13">
        <v>4758</v>
      </c>
      <c r="F173" s="14">
        <v>9312010</v>
      </c>
      <c r="G173" s="5" t="s">
        <v>31</v>
      </c>
    </row>
    <row r="174" spans="1:7" x14ac:dyDescent="0.3">
      <c r="A174" s="4" t="s">
        <v>5</v>
      </c>
      <c r="B174" s="24">
        <v>2008</v>
      </c>
      <c r="C174" s="4" t="s">
        <v>33</v>
      </c>
      <c r="D174" s="4" t="s">
        <v>13</v>
      </c>
      <c r="E174" s="15">
        <v>2925</v>
      </c>
      <c r="F174" s="16">
        <v>31204355</v>
      </c>
      <c r="G174" s="4" t="s">
        <v>9</v>
      </c>
    </row>
    <row r="175" spans="1:7" x14ac:dyDescent="0.3">
      <c r="A175" s="5" t="s">
        <v>17</v>
      </c>
      <c r="B175" s="23">
        <v>2010</v>
      </c>
      <c r="C175" s="5" t="s">
        <v>6</v>
      </c>
      <c r="D175" s="5" t="s">
        <v>28</v>
      </c>
      <c r="E175" s="13">
        <v>4672</v>
      </c>
      <c r="F175" s="14">
        <v>20725397</v>
      </c>
      <c r="G175" s="5" t="s">
        <v>31</v>
      </c>
    </row>
    <row r="176" spans="1:7" x14ac:dyDescent="0.3">
      <c r="A176" s="4" t="s">
        <v>12</v>
      </c>
      <c r="B176" s="24">
        <v>2008</v>
      </c>
      <c r="C176" s="4" t="s">
        <v>47</v>
      </c>
      <c r="D176" s="4" t="s">
        <v>30</v>
      </c>
      <c r="E176" s="15">
        <v>2288</v>
      </c>
      <c r="F176" s="16">
        <v>29657237</v>
      </c>
      <c r="G176" s="4" t="s">
        <v>21</v>
      </c>
    </row>
    <row r="177" spans="1:7" x14ac:dyDescent="0.3">
      <c r="A177" s="5" t="s">
        <v>26</v>
      </c>
      <c r="B177" s="23">
        <v>2009</v>
      </c>
      <c r="C177" s="5" t="s">
        <v>15</v>
      </c>
      <c r="D177" s="5" t="s">
        <v>30</v>
      </c>
      <c r="E177" s="13">
        <v>2109</v>
      </c>
      <c r="F177" s="14">
        <v>11102083</v>
      </c>
      <c r="G177" s="5" t="s">
        <v>16</v>
      </c>
    </row>
    <row r="178" spans="1:7" x14ac:dyDescent="0.3">
      <c r="A178" s="4" t="s">
        <v>14</v>
      </c>
      <c r="B178" s="24">
        <v>2009</v>
      </c>
      <c r="C178" s="4" t="s">
        <v>47</v>
      </c>
      <c r="D178" s="4" t="s">
        <v>29</v>
      </c>
      <c r="E178" s="15">
        <v>1777</v>
      </c>
      <c r="F178" s="16">
        <v>23972335</v>
      </c>
      <c r="G178" s="4" t="s">
        <v>21</v>
      </c>
    </row>
    <row r="179" spans="1:7" x14ac:dyDescent="0.3">
      <c r="A179" s="5" t="s">
        <v>24</v>
      </c>
      <c r="B179" s="23">
        <v>2010</v>
      </c>
      <c r="C179" s="5" t="s">
        <v>33</v>
      </c>
      <c r="D179" s="5" t="s">
        <v>8</v>
      </c>
      <c r="E179" s="13">
        <v>960</v>
      </c>
      <c r="F179" s="14">
        <v>9124694</v>
      </c>
      <c r="G179" s="5" t="s">
        <v>9</v>
      </c>
    </row>
    <row r="180" spans="1:7" x14ac:dyDescent="0.3">
      <c r="A180" s="4" t="s">
        <v>24</v>
      </c>
      <c r="B180" s="24">
        <v>2008</v>
      </c>
      <c r="C180" s="4" t="s">
        <v>33</v>
      </c>
      <c r="D180" s="4" t="s">
        <v>29</v>
      </c>
      <c r="E180" s="15">
        <v>3142</v>
      </c>
      <c r="F180" s="16">
        <v>21837764</v>
      </c>
      <c r="G180" s="4" t="s">
        <v>9</v>
      </c>
    </row>
    <row r="181" spans="1:7" x14ac:dyDescent="0.3">
      <c r="A181" s="5" t="s">
        <v>25</v>
      </c>
      <c r="B181" s="23">
        <v>2009</v>
      </c>
      <c r="C181" s="5" t="s">
        <v>6</v>
      </c>
      <c r="D181" s="5" t="s">
        <v>28</v>
      </c>
      <c r="E181" s="13">
        <v>2162</v>
      </c>
      <c r="F181" s="14">
        <v>8280515</v>
      </c>
      <c r="G181" s="5" t="s">
        <v>31</v>
      </c>
    </row>
    <row r="182" spans="1:7" x14ac:dyDescent="0.3">
      <c r="A182" s="4" t="s">
        <v>12</v>
      </c>
      <c r="B182" s="24">
        <v>2011</v>
      </c>
      <c r="C182" s="4" t="s">
        <v>47</v>
      </c>
      <c r="D182" s="4" t="s">
        <v>13</v>
      </c>
      <c r="E182" s="15">
        <v>98123</v>
      </c>
      <c r="F182" s="16">
        <v>83201</v>
      </c>
      <c r="G182" s="4" t="s">
        <v>9</v>
      </c>
    </row>
    <row r="183" spans="1:7" x14ac:dyDescent="0.3">
      <c r="A183" s="5" t="s">
        <v>10</v>
      </c>
      <c r="B183" s="23">
        <v>2012</v>
      </c>
      <c r="C183" s="5" t="s">
        <v>6</v>
      </c>
      <c r="D183" s="5" t="s">
        <v>29</v>
      </c>
      <c r="E183" s="13">
        <v>7128</v>
      </c>
      <c r="F183" s="14">
        <v>9123918</v>
      </c>
      <c r="G183" s="5" t="s">
        <v>21</v>
      </c>
    </row>
    <row r="184" spans="1:7" x14ac:dyDescent="0.3">
      <c r="A184" s="4" t="s">
        <v>5</v>
      </c>
      <c r="B184" s="24">
        <v>2011</v>
      </c>
      <c r="C184" s="4" t="s">
        <v>6</v>
      </c>
      <c r="D184" s="4" t="s">
        <v>30</v>
      </c>
      <c r="E184" s="15">
        <v>2738</v>
      </c>
      <c r="F184" s="16">
        <v>844832</v>
      </c>
      <c r="G184" s="4" t="s">
        <v>16</v>
      </c>
    </row>
    <row r="185" spans="1:7" x14ac:dyDescent="0.3">
      <c r="A185" s="5" t="s">
        <v>23</v>
      </c>
      <c r="B185" s="23">
        <v>2012</v>
      </c>
      <c r="C185" s="5" t="s">
        <v>33</v>
      </c>
      <c r="D185" s="5" t="s">
        <v>28</v>
      </c>
      <c r="E185" s="13">
        <v>1928</v>
      </c>
      <c r="F185" s="14">
        <v>108214</v>
      </c>
      <c r="G185" s="5" t="s">
        <v>16</v>
      </c>
    </row>
    <row r="186" spans="1:7" x14ac:dyDescent="0.3">
      <c r="A186" s="4" t="s">
        <v>14</v>
      </c>
      <c r="B186" s="24">
        <v>2012</v>
      </c>
      <c r="C186" s="4" t="s">
        <v>33</v>
      </c>
      <c r="D186" s="4" t="s">
        <v>13</v>
      </c>
      <c r="E186" s="15">
        <v>192374</v>
      </c>
      <c r="F186" s="16">
        <v>829348</v>
      </c>
      <c r="G186" s="4" t="s">
        <v>19</v>
      </c>
    </row>
    <row r="187" spans="1:7" x14ac:dyDescent="0.3">
      <c r="A187" s="5" t="s">
        <v>24</v>
      </c>
      <c r="B187" s="23">
        <v>2011</v>
      </c>
      <c r="C187" s="5" t="s">
        <v>47</v>
      </c>
      <c r="D187" s="5" t="s">
        <v>29</v>
      </c>
      <c r="E187" s="13">
        <v>9823</v>
      </c>
      <c r="F187" s="14">
        <v>18234</v>
      </c>
      <c r="G187" s="5" t="s">
        <v>9</v>
      </c>
    </row>
    <row r="188" spans="1:7" x14ac:dyDescent="0.3">
      <c r="A188" s="4" t="s">
        <v>26</v>
      </c>
      <c r="B188" s="24">
        <v>2011</v>
      </c>
      <c r="C188" s="4" t="s">
        <v>15</v>
      </c>
      <c r="D188" s="4" t="s">
        <v>13</v>
      </c>
      <c r="E188" s="15">
        <v>8943</v>
      </c>
      <c r="F188" s="16">
        <v>4328234</v>
      </c>
      <c r="G188" s="4" t="s">
        <v>31</v>
      </c>
    </row>
    <row r="189" spans="1:7" x14ac:dyDescent="0.3">
      <c r="A189" s="5" t="s">
        <v>22</v>
      </c>
      <c r="B189" s="23">
        <v>2012</v>
      </c>
      <c r="C189" s="5" t="s">
        <v>18</v>
      </c>
      <c r="D189" s="5" t="s">
        <v>29</v>
      </c>
      <c r="E189" s="13">
        <v>1927</v>
      </c>
      <c r="F189" s="14">
        <v>923982</v>
      </c>
      <c r="G189" s="5" t="s">
        <v>16</v>
      </c>
    </row>
    <row r="190" spans="1:7" x14ac:dyDescent="0.3">
      <c r="A190" s="4" t="s">
        <v>17</v>
      </c>
      <c r="B190" s="24">
        <v>2011</v>
      </c>
      <c r="C190" s="4" t="s">
        <v>18</v>
      </c>
      <c r="D190" s="4" t="s">
        <v>30</v>
      </c>
      <c r="E190" s="15">
        <v>129</v>
      </c>
      <c r="F190" s="16">
        <v>1203910</v>
      </c>
      <c r="G190" s="4" t="s">
        <v>31</v>
      </c>
    </row>
    <row r="191" spans="1:7" x14ac:dyDescent="0.3">
      <c r="A191" s="5" t="s">
        <v>20</v>
      </c>
      <c r="B191" s="23">
        <v>2011</v>
      </c>
      <c r="C191" s="5" t="s">
        <v>15</v>
      </c>
      <c r="D191" s="5" t="s">
        <v>28</v>
      </c>
      <c r="E191" s="13">
        <v>4983</v>
      </c>
      <c r="F191" s="14">
        <v>8120381</v>
      </c>
      <c r="G191" s="5" t="s">
        <v>16</v>
      </c>
    </row>
    <row r="192" spans="1:7" x14ac:dyDescent="0.3">
      <c r="A192" s="4" t="s">
        <v>25</v>
      </c>
      <c r="B192" s="24">
        <v>2012</v>
      </c>
      <c r="C192" s="4" t="s">
        <v>47</v>
      </c>
      <c r="D192" s="4" t="s">
        <v>30</v>
      </c>
      <c r="E192" s="15">
        <v>1927</v>
      </c>
      <c r="F192" s="16">
        <v>548392</v>
      </c>
      <c r="G192" s="4" t="s">
        <v>19</v>
      </c>
    </row>
    <row r="193" spans="1:7" x14ac:dyDescent="0.3">
      <c r="A193" s="5" t="s">
        <v>5</v>
      </c>
      <c r="B193" s="23">
        <v>2011</v>
      </c>
      <c r="C193" s="5" t="s">
        <v>33</v>
      </c>
      <c r="D193" s="5" t="s">
        <v>28</v>
      </c>
      <c r="E193" s="13">
        <v>4903</v>
      </c>
      <c r="F193" s="14">
        <v>483929</v>
      </c>
      <c r="G193" s="5" t="s">
        <v>19</v>
      </c>
    </row>
  </sheetData>
  <autoFilter ref="A1:G193" xr:uid="{4B449E69-588F-41D7-A919-6D59BD23BE4B}"/>
  <dataValidations count="1">
    <dataValidation type="whole" allowBlank="1" showInputMessage="1" showErrorMessage="1" sqref="B1:B1048576" xr:uid="{11B92170-B2BD-40EB-9E03-03C3EEE32B8E}">
      <formula1>2000</formula1>
      <formula2>YEAR(TODAY())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Region invalida" error="La region indicada debe existir en el registro" xr:uid="{A6621587-24BE-4C2B-90EF-0543C4EC9A22}">
          <x14:formula1>
            <xm:f>listas!$C$2:$C$6</xm:f>
          </x14:formula1>
          <xm:sqref>G1:G1048576</xm:sqref>
        </x14:dataValidation>
        <x14:dataValidation type="list" allowBlank="1" showInputMessage="1" showErrorMessage="1" errorTitle="Vendedor No encontrado" error="Ingrese un nombre de vendedor que se encuentre registrado" xr:uid="{E1B95956-B174-4881-9EAD-EBC758BB7F3B}">
          <x14:formula1>
            <xm:f>listas!$B$2:$B$7</xm:f>
          </x14:formula1>
          <xm:sqref>D1:D1048576</xm:sqref>
        </x14:dataValidation>
        <x14:dataValidation type="list" errorStyle="warning" allowBlank="1" showInputMessage="1" showErrorMessage="1" errorTitle="Producto no encontrado" error="Debe elegir un producto de la lista para evitar futuros inconvenientes" xr:uid="{933DD1E8-78D4-44DB-B410-D2CFF50CED0C}">
          <x14:formula1>
            <xm:f>listas!$A$2:$A$6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67D4-9347-488C-8593-4C0DE7CD7476}">
  <dimension ref="A1:C7"/>
  <sheetViews>
    <sheetView zoomScale="167" workbookViewId="0">
      <selection activeCell="A7" sqref="A7"/>
    </sheetView>
  </sheetViews>
  <sheetFormatPr baseColWidth="10" defaultRowHeight="14.4" x14ac:dyDescent="0.3"/>
  <cols>
    <col min="1" max="1" width="8.44140625" bestFit="1" customWidth="1"/>
    <col min="2" max="2" width="9" bestFit="1" customWidth="1"/>
    <col min="3" max="3" width="11.109375" bestFit="1" customWidth="1"/>
  </cols>
  <sheetData>
    <row r="1" spans="1:3" x14ac:dyDescent="0.3">
      <c r="A1" t="s">
        <v>2</v>
      </c>
      <c r="B1" t="s">
        <v>3</v>
      </c>
      <c r="C1" t="s">
        <v>32</v>
      </c>
    </row>
    <row r="2" spans="1:3" x14ac:dyDescent="0.3">
      <c r="A2" t="s">
        <v>6</v>
      </c>
      <c r="B2" t="s">
        <v>28</v>
      </c>
      <c r="C2" s="3" t="s">
        <v>31</v>
      </c>
    </row>
    <row r="3" spans="1:3" x14ac:dyDescent="0.3">
      <c r="A3" s="3" t="s">
        <v>33</v>
      </c>
      <c r="B3" t="s">
        <v>8</v>
      </c>
      <c r="C3" t="s">
        <v>9</v>
      </c>
    </row>
    <row r="4" spans="1:3" x14ac:dyDescent="0.3">
      <c r="A4" t="s">
        <v>15</v>
      </c>
      <c r="B4" t="s">
        <v>11</v>
      </c>
      <c r="C4" t="s">
        <v>16</v>
      </c>
    </row>
    <row r="5" spans="1:3" x14ac:dyDescent="0.3">
      <c r="A5" t="s">
        <v>18</v>
      </c>
      <c r="B5" t="s">
        <v>13</v>
      </c>
      <c r="C5" t="s">
        <v>19</v>
      </c>
    </row>
    <row r="6" spans="1:3" x14ac:dyDescent="0.3">
      <c r="A6" s="3" t="s">
        <v>47</v>
      </c>
      <c r="B6" t="s">
        <v>29</v>
      </c>
      <c r="C6" t="s">
        <v>21</v>
      </c>
    </row>
    <row r="7" spans="1:3" x14ac:dyDescent="0.3">
      <c r="B7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B143F-BB66-4B35-BD7B-8E64426316F6}">
  <dimension ref="A1:BI39"/>
  <sheetViews>
    <sheetView tabSelected="1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I3" sqref="I3"/>
    </sheetView>
  </sheetViews>
  <sheetFormatPr baseColWidth="10" defaultRowHeight="14.4" x14ac:dyDescent="0.3"/>
  <cols>
    <col min="1" max="1" width="11.21875" bestFit="1" customWidth="1"/>
    <col min="2" max="2" width="9.33203125" bestFit="1" customWidth="1"/>
    <col min="3" max="3" width="18" bestFit="1" customWidth="1"/>
    <col min="4" max="4" width="3.44140625" customWidth="1"/>
    <col min="5" max="5" width="8.88671875" style="87" bestFit="1" customWidth="1"/>
    <col min="6" max="7" width="8.88671875" style="51" bestFit="1" customWidth="1"/>
    <col min="8" max="8" width="9.88671875" style="51" bestFit="1" customWidth="1"/>
    <col min="9" max="9" width="8.88671875" style="51" bestFit="1" customWidth="1"/>
    <col min="10" max="10" width="10.44140625" style="51" bestFit="1" customWidth="1"/>
    <col min="11" max="11" width="3.44140625" customWidth="1"/>
    <col min="12" max="12" width="13.88671875" style="101" bestFit="1" customWidth="1"/>
    <col min="13" max="16" width="13.88671875" style="57" bestFit="1" customWidth="1"/>
    <col min="17" max="17" width="16.5546875" style="57" bestFit="1" customWidth="1"/>
    <col min="18" max="18" width="3.44140625" customWidth="1"/>
    <col min="19" max="19" width="10.109375" style="87" bestFit="1" customWidth="1"/>
    <col min="20" max="20" width="8.88671875" style="51" bestFit="1" customWidth="1"/>
    <col min="21" max="21" width="9" style="51" bestFit="1" customWidth="1"/>
    <col min="22" max="23" width="8.88671875" style="51" bestFit="1" customWidth="1"/>
    <col min="24" max="24" width="9.21875" style="51" bestFit="1" customWidth="1"/>
    <col min="25" max="25" width="8.88671875" style="51" bestFit="1" customWidth="1"/>
    <col min="26" max="26" width="3.44140625" customWidth="1"/>
    <col min="27" max="27" width="13.88671875" style="101" bestFit="1" customWidth="1"/>
    <col min="28" max="32" width="13.88671875" style="57" bestFit="1" customWidth="1"/>
    <col min="33" max="33" width="15.44140625" style="57" bestFit="1" customWidth="1"/>
    <col min="34" max="34" width="3.44140625" customWidth="1"/>
    <col min="35" max="35" width="8.88671875" style="87" bestFit="1" customWidth="1"/>
    <col min="36" max="36" width="8.88671875" style="51" bestFit="1" customWidth="1"/>
    <col min="37" max="37" width="12.77734375" style="51" bestFit="1" customWidth="1"/>
    <col min="38" max="38" width="10.5546875" style="51" bestFit="1" customWidth="1"/>
    <col min="39" max="40" width="8.88671875" style="51" bestFit="1" customWidth="1"/>
    <col min="41" max="41" width="3.44140625" customWidth="1"/>
    <col min="42" max="42" width="16.44140625" style="85" bestFit="1" customWidth="1"/>
    <col min="43" max="46" width="16.44140625" bestFit="1" customWidth="1"/>
    <col min="47" max="47" width="18.109375" bestFit="1" customWidth="1"/>
    <col min="48" max="48" width="3.44140625" customWidth="1"/>
    <col min="49" max="49" width="11.44140625" style="85" bestFit="1" customWidth="1"/>
    <col min="50" max="51" width="11.44140625" bestFit="1" customWidth="1"/>
    <col min="52" max="54" width="10.44140625" bestFit="1" customWidth="1"/>
    <col min="55" max="55" width="3.44140625" customWidth="1"/>
    <col min="56" max="56" width="15.44140625" style="85" bestFit="1" customWidth="1"/>
    <col min="57" max="58" width="15.44140625" bestFit="1" customWidth="1"/>
    <col min="59" max="60" width="12.88671875" bestFit="1" customWidth="1"/>
    <col min="61" max="61" width="15.44140625" bestFit="1" customWidth="1"/>
  </cols>
  <sheetData>
    <row r="1" spans="1:61" ht="15" thickBot="1" x14ac:dyDescent="0.35">
      <c r="A1" s="7" t="s">
        <v>46</v>
      </c>
      <c r="B1" s="7" t="s">
        <v>4</v>
      </c>
      <c r="C1" s="7" t="s">
        <v>27</v>
      </c>
      <c r="E1" s="86" t="s">
        <v>6</v>
      </c>
      <c r="F1" s="52" t="s">
        <v>33</v>
      </c>
      <c r="G1" s="52" t="s">
        <v>15</v>
      </c>
      <c r="H1" s="52" t="s">
        <v>18</v>
      </c>
      <c r="I1" s="52" t="s">
        <v>47</v>
      </c>
      <c r="J1" s="119"/>
      <c r="L1" s="100" t="s">
        <v>6</v>
      </c>
      <c r="M1" s="56" t="s">
        <v>33</v>
      </c>
      <c r="N1" s="56" t="s">
        <v>15</v>
      </c>
      <c r="O1" s="56" t="s">
        <v>18</v>
      </c>
      <c r="P1" s="56" t="s">
        <v>47</v>
      </c>
      <c r="Q1" s="121"/>
      <c r="S1" s="86" t="s">
        <v>28</v>
      </c>
      <c r="T1" s="52" t="s">
        <v>8</v>
      </c>
      <c r="U1" s="52" t="s">
        <v>11</v>
      </c>
      <c r="V1" s="52" t="s">
        <v>13</v>
      </c>
      <c r="W1" s="52" t="s">
        <v>29</v>
      </c>
      <c r="X1" s="52" t="s">
        <v>30</v>
      </c>
      <c r="AA1" s="100" t="s">
        <v>28</v>
      </c>
      <c r="AB1" s="56" t="s">
        <v>8</v>
      </c>
      <c r="AC1" s="56" t="s">
        <v>11</v>
      </c>
      <c r="AD1" s="56" t="s">
        <v>13</v>
      </c>
      <c r="AE1" s="56" t="s">
        <v>29</v>
      </c>
      <c r="AF1" s="56" t="s">
        <v>30</v>
      </c>
      <c r="AI1" s="86" t="s">
        <v>31</v>
      </c>
      <c r="AJ1" s="52" t="s">
        <v>9</v>
      </c>
      <c r="AK1" s="52" t="s">
        <v>16</v>
      </c>
      <c r="AL1" s="52" t="s">
        <v>19</v>
      </c>
      <c r="AM1" s="52" t="s">
        <v>21</v>
      </c>
      <c r="AN1"/>
      <c r="AP1" s="86" t="s">
        <v>31</v>
      </c>
      <c r="AQ1" s="52" t="s">
        <v>9</v>
      </c>
      <c r="AR1" s="52" t="s">
        <v>16</v>
      </c>
      <c r="AS1" s="52" t="s">
        <v>19</v>
      </c>
      <c r="AT1" s="52" t="s">
        <v>21</v>
      </c>
      <c r="AW1" s="125">
        <v>2008</v>
      </c>
      <c r="AX1" s="21">
        <v>2009</v>
      </c>
      <c r="AY1" s="21">
        <v>2010</v>
      </c>
      <c r="AZ1" s="21">
        <v>2011</v>
      </c>
      <c r="BA1" s="21">
        <v>2012</v>
      </c>
      <c r="BB1" s="2"/>
      <c r="BC1" s="2"/>
      <c r="BD1" s="125">
        <v>2008</v>
      </c>
      <c r="BE1" s="21">
        <v>2009</v>
      </c>
      <c r="BF1" s="21">
        <v>2010</v>
      </c>
      <c r="BG1" s="21">
        <v>2011</v>
      </c>
      <c r="BH1" s="21">
        <v>2012</v>
      </c>
    </row>
    <row r="2" spans="1:61" x14ac:dyDescent="0.3">
      <c r="A2" s="10" t="s">
        <v>35</v>
      </c>
      <c r="B2" s="29">
        <f>MIN(ventas_unidades)</f>
        <v>129</v>
      </c>
      <c r="C2" s="37">
        <f>MIN(ventas_total)</f>
        <v>18234</v>
      </c>
      <c r="E2" s="81">
        <f>_xlfn.MINIFS(ventas_unidades,ventas_producto,E$1)</f>
        <v>951</v>
      </c>
      <c r="F2" s="29">
        <f>_xlfn.MINIFS(ventas_unidades,ventas_producto,F$1)</f>
        <v>960</v>
      </c>
      <c r="G2" s="29">
        <f>_xlfn.MINIFS(ventas_unidades,ventas_producto,G$1)</f>
        <v>932</v>
      </c>
      <c r="H2" s="17">
        <f>_xlfn.MINIFS(ventas_unidades,ventas_producto,H$1)</f>
        <v>129</v>
      </c>
      <c r="I2" s="29">
        <f>_xlfn.MINIFS(ventas_unidades,ventas_producto,I$1)</f>
        <v>933</v>
      </c>
      <c r="J2" s="77"/>
      <c r="L2" s="96">
        <f>_xlfn.MINIFS(ventas_total,ventas_producto,L$1)</f>
        <v>844832</v>
      </c>
      <c r="M2" s="58">
        <f>_xlfn.MINIFS(ventas_total,ventas_producto,M$1)</f>
        <v>108214</v>
      </c>
      <c r="N2" s="58">
        <f>_xlfn.MINIFS(ventas_total,ventas_producto,N$1)</f>
        <v>4328234</v>
      </c>
      <c r="O2" s="58">
        <f>_xlfn.MINIFS(ventas_total,ventas_producto,O$1)</f>
        <v>923982</v>
      </c>
      <c r="P2" s="58">
        <f>_xlfn.MINIFS(ventas_total,ventas_producto,P$1)</f>
        <v>18234</v>
      </c>
      <c r="Q2" s="76"/>
      <c r="S2" s="81">
        <f t="shared" ref="S2:X2" si="0">_xlfn.MINIFS(ventas_unidades,ventas_vendedor,S$1)</f>
        <v>928</v>
      </c>
      <c r="T2" s="29">
        <f t="shared" si="0"/>
        <v>960</v>
      </c>
      <c r="U2" s="29">
        <f t="shared" si="0"/>
        <v>951</v>
      </c>
      <c r="V2" s="17">
        <f t="shared" si="0"/>
        <v>933</v>
      </c>
      <c r="W2" s="29">
        <f t="shared" si="0"/>
        <v>1088</v>
      </c>
      <c r="X2" s="29">
        <f t="shared" si="0"/>
        <v>129</v>
      </c>
      <c r="AA2" s="96">
        <f t="shared" ref="AA2:AF2" si="1">_xlfn.MINIFS(ventas_total,ventas_vendedor,AA$1)</f>
        <v>108214</v>
      </c>
      <c r="AB2" s="58">
        <f t="shared" si="1"/>
        <v>7474946</v>
      </c>
      <c r="AC2" s="58">
        <f t="shared" si="1"/>
        <v>6788991</v>
      </c>
      <c r="AD2" s="58">
        <f t="shared" si="1"/>
        <v>83201</v>
      </c>
      <c r="AE2" s="58">
        <f t="shared" si="1"/>
        <v>18234</v>
      </c>
      <c r="AF2" s="58">
        <f t="shared" si="1"/>
        <v>548392</v>
      </c>
      <c r="AI2" s="81">
        <f>_xlfn.MINIFS(ventas_unidades,ventas_region,AI$1)</f>
        <v>129</v>
      </c>
      <c r="AJ2" s="17">
        <f>_xlfn.MINIFS(ventas_unidades,ventas_region,AJ$1)</f>
        <v>960</v>
      </c>
      <c r="AK2" s="17">
        <f>_xlfn.MINIFS(ventas_unidades,ventas_region,AK$1)</f>
        <v>932</v>
      </c>
      <c r="AL2" s="17">
        <f>_xlfn.MINIFS(ventas_unidades,ventas_region,AL$1)</f>
        <v>928</v>
      </c>
      <c r="AM2" s="17">
        <f>_xlfn.MINIFS(ventas_unidades,ventas_region,AM$1)</f>
        <v>933</v>
      </c>
      <c r="AN2"/>
      <c r="AP2" s="96">
        <f>_xlfn.MINIFS(ventas_total,ventas_region,AP$1)</f>
        <v>1203910</v>
      </c>
      <c r="AQ2" s="58">
        <f>_xlfn.MINIFS(ventas_total,ventas_region,AQ$1)</f>
        <v>18234</v>
      </c>
      <c r="AR2" s="58">
        <f>_xlfn.MINIFS(ventas_total,ventas_region,AR$1)</f>
        <v>108214</v>
      </c>
      <c r="AS2" s="58">
        <f>_xlfn.MINIFS(ventas_total,ventas_region,AS$1)</f>
        <v>483929</v>
      </c>
      <c r="AT2" s="58">
        <f>_xlfn.MINIFS(ventas_total,ventas_region,AT$1)</f>
        <v>5126450</v>
      </c>
      <c r="AW2" s="81">
        <f>_xlfn.MINIFS(ventas_unidades,ventas_año,AW$1)</f>
        <v>928</v>
      </c>
      <c r="AX2" s="17">
        <f>_xlfn.MINIFS(ventas_unidades,ventas_año,AX$1)</f>
        <v>932</v>
      </c>
      <c r="AY2" s="17">
        <f>_xlfn.MINIFS(ventas_unidades,ventas_año,AY$1)</f>
        <v>933</v>
      </c>
      <c r="AZ2" s="17">
        <f>_xlfn.MINIFS(ventas_unidades,ventas_año,AZ$1)</f>
        <v>129</v>
      </c>
      <c r="BA2" s="17">
        <f>_xlfn.MINIFS(ventas_unidades,ventas_año,BA$1)</f>
        <v>1927</v>
      </c>
      <c r="BD2" s="96">
        <f>_xlfn.MINIFS(ventas_total,ventas_año,BD$1)</f>
        <v>5090135</v>
      </c>
      <c r="BE2" s="58">
        <f>_xlfn.MINIFS(ventas_total,ventas_año,BE$1)</f>
        <v>5126450</v>
      </c>
      <c r="BF2" s="58">
        <f>_xlfn.MINIFS(ventas_total,ventas_año,BF$1)</f>
        <v>5608677</v>
      </c>
      <c r="BG2" s="58">
        <f>_xlfn.MINIFS(ventas_total,ventas_año,BG$1)</f>
        <v>18234</v>
      </c>
      <c r="BH2" s="58">
        <f>_xlfn.MINIFS(ventas_total,ventas_año,BH$1)</f>
        <v>108214</v>
      </c>
    </row>
    <row r="3" spans="1:61" x14ac:dyDescent="0.3">
      <c r="A3" s="5" t="s">
        <v>36</v>
      </c>
      <c r="B3" s="30">
        <f>MAX(ventas_unidades)</f>
        <v>192374</v>
      </c>
      <c r="C3" s="38">
        <f>MAX(ventas_total)</f>
        <v>31939624</v>
      </c>
      <c r="E3" s="82">
        <f>_xlfn.MAXIFS(ventas_unidades,ventas_producto,E$1)</f>
        <v>7128</v>
      </c>
      <c r="F3" s="30">
        <f>_xlfn.MAXIFS(ventas_unidades,ventas_producto,F$1)</f>
        <v>192374</v>
      </c>
      <c r="G3" s="30">
        <f>_xlfn.MAXIFS(ventas_unidades,ventas_producto,G$1)</f>
        <v>8943</v>
      </c>
      <c r="H3" s="18">
        <f>_xlfn.MAXIFS(ventas_unidades,ventas_producto,H$1)</f>
        <v>4991</v>
      </c>
      <c r="I3" s="30">
        <f>_xlfn.MAXIFS(ventas_unidades,ventas_producto,I$1)</f>
        <v>98123</v>
      </c>
      <c r="J3" s="77"/>
      <c r="L3" s="97">
        <f>_xlfn.MAXIFS(ventas_total,ventas_producto,L$1)</f>
        <v>31075727</v>
      </c>
      <c r="M3" s="59">
        <f>_xlfn.MAXIFS(ventas_total,ventas_producto,M$1)</f>
        <v>31939624</v>
      </c>
      <c r="N3" s="59">
        <f>_xlfn.MAXIFS(ventas_total,ventas_producto,N$1)</f>
        <v>31929296</v>
      </c>
      <c r="O3" s="59">
        <f>_xlfn.MAXIFS(ventas_total,ventas_producto,O$1)</f>
        <v>31378227</v>
      </c>
      <c r="P3" s="59">
        <f>_xlfn.MAXIFS(ventas_total,ventas_producto,P$1)</f>
        <v>31553984</v>
      </c>
      <c r="Q3" s="76"/>
      <c r="S3" s="82">
        <f t="shared" ref="S3:X3" si="2">_xlfn.MAXIFS(ventas_unidades,ventas_vendedor,S$1)</f>
        <v>4983</v>
      </c>
      <c r="T3" s="30">
        <f t="shared" si="2"/>
        <v>4754</v>
      </c>
      <c r="U3" s="30">
        <f t="shared" si="2"/>
        <v>4851</v>
      </c>
      <c r="V3" s="18">
        <f t="shared" si="2"/>
        <v>192374</v>
      </c>
      <c r="W3" s="30">
        <f t="shared" si="2"/>
        <v>9823</v>
      </c>
      <c r="X3" s="30">
        <f t="shared" si="2"/>
        <v>4859</v>
      </c>
      <c r="AA3" s="97">
        <f t="shared" ref="AA3:AF3" si="3">_xlfn.MAXIFS(ventas_total,ventas_vendedor,AA$1)</f>
        <v>31929296</v>
      </c>
      <c r="AB3" s="59">
        <f t="shared" si="3"/>
        <v>31939624</v>
      </c>
      <c r="AC3" s="59">
        <f t="shared" si="3"/>
        <v>31378227</v>
      </c>
      <c r="AD3" s="59">
        <f t="shared" si="3"/>
        <v>31204355</v>
      </c>
      <c r="AE3" s="59">
        <f t="shared" si="3"/>
        <v>31553984</v>
      </c>
      <c r="AF3" s="59">
        <f t="shared" si="3"/>
        <v>29657237</v>
      </c>
      <c r="AI3" s="82">
        <f>_xlfn.MAXIFS(ventas_unidades,ventas_region,AI$1)</f>
        <v>8943</v>
      </c>
      <c r="AJ3" s="30">
        <f>_xlfn.MAXIFS(ventas_unidades,ventas_region,AJ$1)</f>
        <v>98123</v>
      </c>
      <c r="AK3" s="30">
        <f>_xlfn.MAXIFS(ventas_unidades,ventas_region,AK$1)</f>
        <v>4983</v>
      </c>
      <c r="AL3" s="18">
        <f>_xlfn.MAXIFS(ventas_unidades,ventas_region,AL$1)</f>
        <v>192374</v>
      </c>
      <c r="AM3" s="30">
        <f>_xlfn.MAXIFS(ventas_unidades,ventas_region,AM$1)</f>
        <v>7128</v>
      </c>
      <c r="AN3"/>
      <c r="AP3" s="97">
        <f>_xlfn.MAXIFS(ventas_total,ventas_region,AP$1)</f>
        <v>31075727</v>
      </c>
      <c r="AQ3" s="64">
        <f>_xlfn.MAXIFS(ventas_total,ventas_region,AQ$1)</f>
        <v>31939624</v>
      </c>
      <c r="AR3" s="64">
        <f>_xlfn.MAXIFS(ventas_total,ventas_region,AR$1)</f>
        <v>31929296</v>
      </c>
      <c r="AS3" s="59">
        <f>_xlfn.MAXIFS(ventas_total,ventas_region,AS$1)</f>
        <v>31378227</v>
      </c>
      <c r="AT3" s="64">
        <f>_xlfn.MAXIFS(ventas_total,ventas_region,AT$1)</f>
        <v>31553984</v>
      </c>
      <c r="AW3" s="82">
        <f>_xlfn.MAXIFS(ventas_unidades,ventas_año,AW$1)</f>
        <v>4991</v>
      </c>
      <c r="AX3" s="30">
        <f>_xlfn.MAXIFS(ventas_unidades,ventas_año,AX$1)</f>
        <v>4983</v>
      </c>
      <c r="AY3" s="30">
        <f>_xlfn.MAXIFS(ventas_unidades,ventas_año,AY$1)</f>
        <v>4859</v>
      </c>
      <c r="AZ3" s="18">
        <f>_xlfn.MAXIFS(ventas_unidades,ventas_año,AZ$1)</f>
        <v>98123</v>
      </c>
      <c r="BA3" s="30">
        <f>_xlfn.MAXIFS(ventas_unidades,ventas_año,BA$1)</f>
        <v>192374</v>
      </c>
      <c r="BD3" s="97">
        <f>_xlfn.MAXIFS(ventas_total,ventas_año,BD$1)</f>
        <v>31929296</v>
      </c>
      <c r="BE3" s="64">
        <f>_xlfn.MAXIFS(ventas_total,ventas_año,BE$1)</f>
        <v>31553984</v>
      </c>
      <c r="BF3" s="64">
        <f>_xlfn.MAXIFS(ventas_total,ventas_año,BF$1)</f>
        <v>31939624</v>
      </c>
      <c r="BG3" s="59">
        <f>_xlfn.MAXIFS(ventas_total,ventas_año,BG$1)</f>
        <v>8120381</v>
      </c>
      <c r="BH3" s="64">
        <f>_xlfn.MAXIFS(ventas_total,ventas_año,BH$1)</f>
        <v>9123918</v>
      </c>
    </row>
    <row r="4" spans="1:61" x14ac:dyDescent="0.3">
      <c r="A4" s="4" t="s">
        <v>37</v>
      </c>
      <c r="B4" s="31">
        <f>MEDIAN(ventas_unidades)</f>
        <v>2967</v>
      </c>
      <c r="C4" s="39">
        <f>MEDIAN(ventas_total)</f>
        <v>17050822.5</v>
      </c>
      <c r="E4" s="83" cm="1">
        <f t="array" ref="E4">MEDIAN(IF(ventas_producto=E$1,ventas_unidades))</f>
        <v>2698.5</v>
      </c>
      <c r="F4" s="19" cm="1">
        <f t="array" ref="F4">MEDIAN(IF(ventas_producto=F$1,ventas_unidades))</f>
        <v>3055</v>
      </c>
      <c r="G4" s="19" cm="1">
        <f t="array" ref="G4">MEDIAN(IF(ventas_producto=G$1,ventas_unidades))</f>
        <v>2915</v>
      </c>
      <c r="H4" s="19" cm="1">
        <f t="array" ref="H4">MEDIAN(IF(ventas_producto=H$1,ventas_unidades))</f>
        <v>3406</v>
      </c>
      <c r="I4" s="19" cm="1">
        <f t="array" ref="I4">MEDIAN(IF(ventas_producto=I$1,ventas_unidades))</f>
        <v>2754</v>
      </c>
      <c r="J4" s="78"/>
      <c r="L4" s="98" cm="1">
        <f t="array" ref="L4">MEDIAN(IF(ventas_producto=L$1,ventas_total))</f>
        <v>16191526</v>
      </c>
      <c r="M4" s="60" cm="1">
        <f t="array" ref="M4">MEDIAN(IF(ventas_producto=M$1,ventas_total))</f>
        <v>13677001</v>
      </c>
      <c r="N4" s="60" cm="1">
        <f t="array" ref="N4">MEDIAN(IF(ventas_producto=N$1,ventas_total))</f>
        <v>18201953</v>
      </c>
      <c r="O4" s="60" cm="1">
        <f t="array" ref="O4">MEDIAN(IF(ventas_producto=O$1,ventas_total))</f>
        <v>17464872</v>
      </c>
      <c r="P4" s="60" cm="1">
        <f t="array" ref="P4">MEDIAN(IF(ventas_producto=P$1,ventas_total))</f>
        <v>17785852</v>
      </c>
      <c r="Q4" s="76"/>
      <c r="S4" s="83" cm="1">
        <f t="array" ref="S4">MEDIAN(IF(ventas_vendedor=S$1,ventas_unidades))</f>
        <v>3299.5</v>
      </c>
      <c r="T4" s="19" cm="1">
        <f t="array" ref="T4">MEDIAN(IF(ventas_vendedor=T$1,ventas_unidades))</f>
        <v>3569.5</v>
      </c>
      <c r="U4" s="19" cm="1">
        <f t="array" ref="U4">MEDIAN(IF(ventas_vendedor=U$1,ventas_unidades))</f>
        <v>2061</v>
      </c>
      <c r="V4" s="19" cm="1">
        <f t="array" ref="V4">MEDIAN(IF(ventas_vendedor=V$1,ventas_unidades))</f>
        <v>3000</v>
      </c>
      <c r="W4" s="19" cm="1">
        <f t="array" ref="W4">MEDIAN(IF(ventas_vendedor=W$1,ventas_unidades))</f>
        <v>2680.5</v>
      </c>
      <c r="X4" s="19" cm="1">
        <f t="array" ref="X4">MEDIAN(IF(ventas_vendedor=X$1,ventas_unidades))</f>
        <v>2578.5</v>
      </c>
      <c r="AA4" s="98" cm="1">
        <f t="array" ref="AA4">MEDIAN(IF(ventas_vendedor=AA$1,ventas_total))</f>
        <v>18058448.5</v>
      </c>
      <c r="AB4" s="60" cm="1">
        <f t="array" ref="AB4">MEDIAN(IF(ventas_vendedor=AB$1,ventas_total))</f>
        <v>21187434</v>
      </c>
      <c r="AC4" s="60" cm="1">
        <f t="array" ref="AC4">MEDIAN(IF(ventas_vendedor=AC$1,ventas_total))</f>
        <v>15867065</v>
      </c>
      <c r="AD4" s="60" cm="1">
        <f t="array" ref="AD4">MEDIAN(IF(ventas_vendedor=AD$1,ventas_total))</f>
        <v>11257947</v>
      </c>
      <c r="AE4" s="60" cm="1">
        <f t="array" ref="AE4">MEDIAN(IF(ventas_vendedor=AE$1,ventas_total))</f>
        <v>19652115.5</v>
      </c>
      <c r="AF4" s="60" cm="1">
        <f t="array" ref="AF4">MEDIAN(IF(ventas_vendedor=AF$1,ventas_total))</f>
        <v>13579772.5</v>
      </c>
      <c r="AI4" s="83" cm="1">
        <f t="array" ref="AI4">MEDIAN(IF(ventas_region=AI$1,ventas_unidades))</f>
        <v>2612.5</v>
      </c>
      <c r="AJ4" s="19" cm="1">
        <f t="array" ref="AJ4">MEDIAN(IF(ventas_region=AJ$1,ventas_unidades))</f>
        <v>3058</v>
      </c>
      <c r="AK4" s="19" cm="1">
        <f t="array" ref="AK4">MEDIAN(IF(ventas_region=AK$1,ventas_unidades))</f>
        <v>2776.5</v>
      </c>
      <c r="AL4" s="19" cm="1">
        <f t="array" ref="AL4">MEDIAN(IF(ventas_region=AL$1,ventas_unidades))</f>
        <v>3641</v>
      </c>
      <c r="AM4" s="19" cm="1">
        <f t="array" ref="AM4">MEDIAN(IF(ventas_region=AM$1,ventas_unidades))</f>
        <v>2754</v>
      </c>
      <c r="AN4"/>
      <c r="AP4" s="98" cm="1">
        <f t="array" ref="AP4">MEDIAN(IF(ventas_region=AP$1,ventas_total))</f>
        <v>16191526</v>
      </c>
      <c r="AQ4" s="60" cm="1">
        <f t="array" ref="AQ4">MEDIAN(IF(ventas_region=AQ$1,ventas_total))</f>
        <v>14080030.5</v>
      </c>
      <c r="AR4" s="60" cm="1">
        <f t="array" ref="AR4">MEDIAN(IF(ventas_region=AR$1,ventas_total))</f>
        <v>18076571.5</v>
      </c>
      <c r="AS4" s="60" cm="1">
        <f t="array" ref="AS4">MEDIAN(IF(ventas_region=AS$1,ventas_total))</f>
        <v>16927126</v>
      </c>
      <c r="AT4" s="60" cm="1">
        <f t="array" ref="AT4">MEDIAN(IF(ventas_region=AT$1,ventas_total))</f>
        <v>18114279</v>
      </c>
      <c r="AW4" s="83" cm="1">
        <f t="array" ref="AW4">MEDIAN(IF(ventas_año=AW$1,ventas_unidades))</f>
        <v>3022</v>
      </c>
      <c r="AX4" s="19" cm="1">
        <f t="array" ref="AX4">MEDIAN(IF(ventas_año=AX$1,ventas_unidades))</f>
        <v>2702</v>
      </c>
      <c r="AY4" s="19" cm="1">
        <f t="array" ref="AY4">MEDIAN(IF(ventas_año=AY$1,ventas_unidades))</f>
        <v>3020.5</v>
      </c>
      <c r="AZ4" s="19" cm="1">
        <f t="array" ref="AZ4">MEDIAN(IF(ventas_año=AZ$1,ventas_unidades))</f>
        <v>4983</v>
      </c>
      <c r="BA4" s="19" cm="1">
        <f t="array" ref="BA4">MEDIAN(IF(ventas_año=BA$1,ventas_unidades))</f>
        <v>1928</v>
      </c>
      <c r="BD4" s="98" cm="1">
        <f t="array" ref="BD4">MEDIAN(IF(ventas_año=BD$1,ventas_total))</f>
        <v>16523964</v>
      </c>
      <c r="BE4" s="60" cm="1">
        <f t="array" ref="BE4">MEDIAN(IF(ventas_año=BE$1,ventas_total))</f>
        <v>18016546</v>
      </c>
      <c r="BF4" s="60" cm="1">
        <f t="array" ref="BF4">MEDIAN(IF(ventas_año=BF$1,ventas_total))</f>
        <v>18201953</v>
      </c>
      <c r="BG4" s="60" cm="1">
        <f t="array" ref="BG4">MEDIAN(IF(ventas_año=BG$1,ventas_total))</f>
        <v>844832</v>
      </c>
      <c r="BH4" s="60" cm="1">
        <f t="array" ref="BH4">MEDIAN(IF(ventas_año=BH$1,ventas_total))</f>
        <v>829348</v>
      </c>
    </row>
    <row r="5" spans="1:61" x14ac:dyDescent="0.3">
      <c r="A5" s="5" t="s">
        <v>38</v>
      </c>
      <c r="B5" s="42">
        <f>AVERAGE(ventas_unidades)</f>
        <v>4469.932291666667</v>
      </c>
      <c r="C5" s="38">
        <f>AVERAGE(ventas_total)</f>
        <v>16823008.046875</v>
      </c>
      <c r="E5" s="82">
        <f>AVERAGEIF(ventas_producto,E$1, ventas_unidades)</f>
        <v>2918.5</v>
      </c>
      <c r="F5" s="30">
        <f>AVERAGEIF(ventas_producto,F$1, ventas_unidades)</f>
        <v>7808.1794871794873</v>
      </c>
      <c r="G5" s="30">
        <f>AVERAGEIF(ventas_producto,G$1, ventas_unidades)</f>
        <v>3115.2631578947367</v>
      </c>
      <c r="H5" s="18">
        <f>AVERAGEIF(ventas_producto,H$1, ventas_unidades)</f>
        <v>3043.2631578947367</v>
      </c>
      <c r="I5" s="30">
        <f>AVERAGEIF(ventas_producto,I$1, ventas_unidades)</f>
        <v>5353.3589743589746</v>
      </c>
      <c r="J5" s="77"/>
      <c r="L5" s="97">
        <f>AVERAGEIF(ventas_producto,L$1, ventas_total)</f>
        <v>17119567.578947369</v>
      </c>
      <c r="M5" s="59">
        <f>AVERAGEIF(ventas_producto,M$1, ventas_total)</f>
        <v>14823702.358974358</v>
      </c>
      <c r="N5" s="59">
        <f>AVERAGEIF(ventas_producto,N$1, ventas_total)</f>
        <v>18162045.684210528</v>
      </c>
      <c r="O5" s="59">
        <f>AVERAGEIF(ventas_producto,O$1, ventas_total)</f>
        <v>17235366.184210528</v>
      </c>
      <c r="P5" s="59">
        <f>AVERAGEIF(ventas_producto,P$1, ventas_total)</f>
        <v>16826870.102564104</v>
      </c>
      <c r="Q5" s="76"/>
      <c r="S5" s="82">
        <f t="shared" ref="S5:X5" si="4">AVERAGEIF(ventas_vendedor,S$1, ventas_unidades)</f>
        <v>3201.7105263157896</v>
      </c>
      <c r="T5" s="30">
        <f t="shared" si="4"/>
        <v>3305.7894736842104</v>
      </c>
      <c r="U5" s="30">
        <f t="shared" si="4"/>
        <v>2488.9230769230771</v>
      </c>
      <c r="V5" s="18">
        <f t="shared" si="4"/>
        <v>14251.88</v>
      </c>
      <c r="W5" s="30">
        <f t="shared" si="4"/>
        <v>3057.375</v>
      </c>
      <c r="X5" s="30">
        <f t="shared" si="4"/>
        <v>2631.4210526315787</v>
      </c>
      <c r="AA5" s="97">
        <f t="shared" ref="AA5:AF5" si="5">AVERAGEIF(ventas_vendedor,AA$1, ventas_total)</f>
        <v>16976712.263157893</v>
      </c>
      <c r="AB5" s="59">
        <f t="shared" si="5"/>
        <v>20038545.184210528</v>
      </c>
      <c r="AC5" s="59">
        <f t="shared" si="5"/>
        <v>17440214.230769232</v>
      </c>
      <c r="AD5" s="59">
        <f t="shared" si="5"/>
        <v>12490307.640000001</v>
      </c>
      <c r="AE5" s="59">
        <f t="shared" si="5"/>
        <v>18062589.050000001</v>
      </c>
      <c r="AF5" s="59">
        <f t="shared" si="5"/>
        <v>14788255.894736841</v>
      </c>
      <c r="AI5" s="82">
        <f>AVERAGEIF(ventas_region,AI$1, ventas_unidades)</f>
        <v>2897.6052631578946</v>
      </c>
      <c r="AJ5" s="30">
        <f>AVERAGEIF(ventas_region,AJ$1, ventas_unidades)</f>
        <v>5612.105263157895</v>
      </c>
      <c r="AK5" s="30">
        <f>AVERAGEIF(ventas_region,AK$1, ventas_unidades)</f>
        <v>2900.75</v>
      </c>
      <c r="AL5" s="18">
        <f>AVERAGEIF(ventas_region,AL$1, ventas_unidades)</f>
        <v>8020.3076923076924</v>
      </c>
      <c r="AM5" s="30">
        <f>AVERAGEIF(ventas_region,AM$1, ventas_unidades)</f>
        <v>2865.8378378378379</v>
      </c>
      <c r="AN5"/>
      <c r="AP5" s="97">
        <f>AVERAGEIF(ventas_region,AP$1, ventas_total)</f>
        <v>17002814.789473683</v>
      </c>
      <c r="AQ5" s="64">
        <f>AVERAGEIF(ventas_region,AQ$1, ventas_total)</f>
        <v>15179061.47368421</v>
      </c>
      <c r="AR5" s="64">
        <f>AVERAGEIF(ventas_region,AR$1, ventas_total)</f>
        <v>17192663.25</v>
      </c>
      <c r="AS5" s="59">
        <f>AVERAGEIF(ventas_region,AS$1, ventas_total)</f>
        <v>16786607.487179488</v>
      </c>
      <c r="AT5" s="64">
        <f>AVERAGEIF(ventas_region,AT$1, ventas_total)</f>
        <v>17965460.135135137</v>
      </c>
      <c r="AW5" s="82">
        <f>AVERAGEIF(ventas_año,AW$1, ventas_unidades)</f>
        <v>3033.0333333333333</v>
      </c>
      <c r="AX5" s="30">
        <f>AVERAGEIF(ventas_año,AX$1, ventas_unidades)</f>
        <v>2777.7333333333331</v>
      </c>
      <c r="AY5" s="30">
        <f>AVERAGEIF(ventas_año,AY$1, ventas_unidades)</f>
        <v>2910.9166666666665</v>
      </c>
      <c r="AZ5" s="18">
        <f>AVERAGEIF(ventas_año,AZ$1, ventas_unidades)</f>
        <v>18520.285714285714</v>
      </c>
      <c r="BA5" s="30">
        <f>AVERAGEIF(ventas_año,BA$1, ventas_unidades)</f>
        <v>41056.800000000003</v>
      </c>
      <c r="BD5" s="97">
        <f>AVERAGEIF(ventas_año,BD$1, ventas_total)</f>
        <v>16787402.516666666</v>
      </c>
      <c r="BE5" s="64">
        <f>AVERAGEIF(ventas_año,BE$1, ventas_total)</f>
        <v>18447441.199999999</v>
      </c>
      <c r="BF5" s="64">
        <f>AVERAGEIF(ventas_año,BF$1, ventas_total)</f>
        <v>18155172.449999999</v>
      </c>
      <c r="BG5" s="59">
        <f>AVERAGEIF(ventas_año,BG$1, ventas_total)</f>
        <v>2154674.4285714286</v>
      </c>
      <c r="BH5" s="64">
        <f>AVERAGEIF(ventas_año,BH$1, ventas_total)</f>
        <v>2306770.7999999998</v>
      </c>
    </row>
    <row r="6" spans="1:61" ht="15" thickBot="1" x14ac:dyDescent="0.35">
      <c r="A6" s="6" t="s">
        <v>39</v>
      </c>
      <c r="B6" s="123">
        <f>SUM(ventas_unidades)</f>
        <v>858227</v>
      </c>
      <c r="C6" s="124">
        <f>SUM(ventas_total)</f>
        <v>3230017545</v>
      </c>
      <c r="E6" s="84">
        <f>SUMIF(ventas_producto,E$1,ventas_unidades)</f>
        <v>110903</v>
      </c>
      <c r="F6" s="43">
        <f>SUMIF(ventas_producto,F$1,ventas_unidades)</f>
        <v>304519</v>
      </c>
      <c r="G6" s="43">
        <f>SUMIF(ventas_producto,G$1,ventas_unidades)</f>
        <v>118380</v>
      </c>
      <c r="H6" s="20">
        <f>SUMIF(ventas_producto,H$1,ventas_unidades)</f>
        <v>115644</v>
      </c>
      <c r="I6" s="43">
        <f>SUMIF(ventas_producto,I$1,ventas_unidades)</f>
        <v>208781</v>
      </c>
      <c r="J6" s="131">
        <f>SUM(E6:I6)</f>
        <v>858227</v>
      </c>
      <c r="L6" s="99">
        <f>SUMIF(ventas_producto,L$1,ventas_total)</f>
        <v>650543568</v>
      </c>
      <c r="M6" s="61">
        <f>SUMIF(ventas_producto,M$1,ventas_total)</f>
        <v>578124392</v>
      </c>
      <c r="N6" s="61">
        <f>SUMIF(ventas_producto,N$1,ventas_total)</f>
        <v>690157736</v>
      </c>
      <c r="O6" s="61">
        <f>SUMIF(ventas_producto,O$1,ventas_total)</f>
        <v>654943915</v>
      </c>
      <c r="P6" s="61">
        <f>SUMIF(ventas_producto,P$1,ventas_total)</f>
        <v>656247934</v>
      </c>
      <c r="Q6" s="132">
        <f>SUM(L6:P6)</f>
        <v>3230017545</v>
      </c>
      <c r="S6" s="84">
        <f t="shared" ref="S6:X6" si="6">SUMIF(ventas_vendedor,S$1,ventas_unidades)</f>
        <v>121665</v>
      </c>
      <c r="T6" s="43">
        <f t="shared" si="6"/>
        <v>125620</v>
      </c>
      <c r="U6" s="43">
        <f t="shared" si="6"/>
        <v>32356</v>
      </c>
      <c r="V6" s="20">
        <f t="shared" si="6"/>
        <v>356297</v>
      </c>
      <c r="W6" s="43">
        <f t="shared" si="6"/>
        <v>122295</v>
      </c>
      <c r="X6" s="43">
        <f t="shared" si="6"/>
        <v>99994</v>
      </c>
      <c r="Y6" s="131"/>
      <c r="Z6" s="133"/>
      <c r="AA6" s="99">
        <f t="shared" ref="AA6:AF6" si="7">SUMIF(ventas_vendedor,AA$1,ventas_total)</f>
        <v>645115066</v>
      </c>
      <c r="AB6" s="61">
        <f t="shared" si="7"/>
        <v>761464717</v>
      </c>
      <c r="AC6" s="61">
        <f t="shared" si="7"/>
        <v>226722785</v>
      </c>
      <c r="AD6" s="61">
        <f t="shared" si="7"/>
        <v>312257691</v>
      </c>
      <c r="AE6" s="61">
        <f t="shared" si="7"/>
        <v>722503562</v>
      </c>
      <c r="AF6" s="61">
        <f t="shared" si="7"/>
        <v>561953724</v>
      </c>
      <c r="AG6" s="132"/>
      <c r="AI6" s="84">
        <f>SUMIF(ventas_region,AI$1,ventas_unidades)</f>
        <v>110109</v>
      </c>
      <c r="AJ6" s="43">
        <f>SUMIF(ventas_region,AJ$1,ventas_unidades)</f>
        <v>213260</v>
      </c>
      <c r="AK6" s="43">
        <f>SUMIF(ventas_region,AK$1,ventas_unidades)</f>
        <v>116030</v>
      </c>
      <c r="AL6" s="20">
        <f>SUMIF(ventas_region,AL$1,ventas_unidades)</f>
        <v>312792</v>
      </c>
      <c r="AM6" s="43">
        <f>SUMIF(ventas_region,AM$1,ventas_unidades)</f>
        <v>106036</v>
      </c>
      <c r="AN6" s="134"/>
      <c r="AP6" s="99">
        <f>SUMIF(ventas_region,AP$1,ventas_total)</f>
        <v>646106962</v>
      </c>
      <c r="AQ6" s="71">
        <f>SUMIF(ventas_region,AQ$1,ventas_total)</f>
        <v>576804336</v>
      </c>
      <c r="AR6" s="71">
        <f>SUMIF(ventas_region,AR$1,ventas_total)</f>
        <v>687706530</v>
      </c>
      <c r="AS6" s="61">
        <f>SUMIF(ventas_region,AS$1,ventas_total)</f>
        <v>654677692</v>
      </c>
      <c r="AT6" s="71">
        <f>SUMIF(ventas_region,AT$1,ventas_total)</f>
        <v>664722025</v>
      </c>
      <c r="AU6" s="135">
        <f>SUM(AP6:AT6)</f>
        <v>3230017545</v>
      </c>
      <c r="AW6" s="84">
        <f>SUMIF(ventas_año,AW$1,ventas_unidades)</f>
        <v>181982</v>
      </c>
      <c r="AX6" s="43">
        <f>SUMIF(ventas_año,AX$1,ventas_unidades)</f>
        <v>166664</v>
      </c>
      <c r="AY6" s="43">
        <f>SUMIF(ventas_año,AY$1,ventas_unidades)</f>
        <v>174655</v>
      </c>
      <c r="AZ6" s="20">
        <f>SUMIF(ventas_año,AZ$1,ventas_unidades)</f>
        <v>129642</v>
      </c>
      <c r="BA6" s="43">
        <f>SUMIF(ventas_año,BA$1,ventas_unidades)</f>
        <v>205284</v>
      </c>
      <c r="BB6" s="130">
        <f>SUM(AW6:BA6)</f>
        <v>858227</v>
      </c>
      <c r="BD6" s="99">
        <f>SUMIF(ventas_año,BD$1,ventas_total)</f>
        <v>1007244151</v>
      </c>
      <c r="BE6" s="71">
        <f>SUMIF(ventas_año,BE$1,ventas_total)</f>
        <v>1106846472</v>
      </c>
      <c r="BF6" s="71">
        <f>SUMIF(ventas_año,BF$1,ventas_total)</f>
        <v>1089310347</v>
      </c>
      <c r="BG6" s="61">
        <f>SUMIF(ventas_año,BG$1,ventas_total)</f>
        <v>15082721</v>
      </c>
      <c r="BH6" s="71">
        <f>SUMIF(ventas_año,BH$1,ventas_total)</f>
        <v>11533854</v>
      </c>
      <c r="BI6" s="135">
        <f>SUM(BD6:BH6)</f>
        <v>3230017545</v>
      </c>
    </row>
    <row r="7" spans="1:61" ht="15" thickBot="1" x14ac:dyDescent="0.35"/>
    <row r="8" spans="1:61" ht="15" thickBot="1" x14ac:dyDescent="0.35">
      <c r="A8" s="7" t="s">
        <v>45</v>
      </c>
      <c r="B8" s="7" t="s">
        <v>4</v>
      </c>
      <c r="C8" s="7" t="s">
        <v>27</v>
      </c>
      <c r="D8" s="79"/>
      <c r="E8" s="120"/>
      <c r="F8" s="120"/>
      <c r="G8" s="120"/>
      <c r="H8" s="120"/>
      <c r="I8" s="120"/>
      <c r="J8" s="120"/>
      <c r="L8" s="107"/>
      <c r="M8" s="122"/>
      <c r="N8" s="122"/>
      <c r="O8" s="122"/>
      <c r="P8" s="122"/>
      <c r="Q8" s="122"/>
      <c r="S8" s="88" t="s">
        <v>28</v>
      </c>
      <c r="T8" s="54" t="s">
        <v>8</v>
      </c>
      <c r="U8" s="54" t="s">
        <v>11</v>
      </c>
      <c r="V8" s="54" t="s">
        <v>13</v>
      </c>
      <c r="W8" s="54" t="s">
        <v>29</v>
      </c>
      <c r="X8" s="54" t="s">
        <v>30</v>
      </c>
      <c r="Y8" s="54" t="s">
        <v>39</v>
      </c>
      <c r="AA8" s="102" t="s">
        <v>28</v>
      </c>
      <c r="AB8" s="62" t="s">
        <v>8</v>
      </c>
      <c r="AC8" s="62" t="s">
        <v>11</v>
      </c>
      <c r="AD8" s="62" t="s">
        <v>13</v>
      </c>
      <c r="AE8" s="62" t="s">
        <v>29</v>
      </c>
      <c r="AF8" s="62" t="s">
        <v>30</v>
      </c>
      <c r="AG8" s="62" t="s">
        <v>39</v>
      </c>
      <c r="AI8" s="86" t="s">
        <v>31</v>
      </c>
      <c r="AJ8" s="52" t="s">
        <v>9</v>
      </c>
      <c r="AK8" s="52" t="s">
        <v>16</v>
      </c>
      <c r="AL8" s="52" t="s">
        <v>19</v>
      </c>
      <c r="AM8" s="52" t="s">
        <v>21</v>
      </c>
      <c r="AN8" s="52" t="s">
        <v>34</v>
      </c>
      <c r="AP8" s="80" t="s">
        <v>31</v>
      </c>
      <c r="AQ8" s="7" t="s">
        <v>9</v>
      </c>
      <c r="AR8" s="7" t="s">
        <v>16</v>
      </c>
      <c r="AS8" s="7" t="s">
        <v>19</v>
      </c>
      <c r="AT8" s="7" t="s">
        <v>21</v>
      </c>
      <c r="AU8" s="7" t="s">
        <v>34</v>
      </c>
      <c r="AW8" s="125">
        <v>2008</v>
      </c>
      <c r="AX8" s="21">
        <v>2009</v>
      </c>
      <c r="AY8" s="21">
        <v>2010</v>
      </c>
      <c r="AZ8" s="21">
        <v>2011</v>
      </c>
      <c r="BA8" s="21">
        <v>2012</v>
      </c>
      <c r="BB8" s="21" t="s">
        <v>34</v>
      </c>
      <c r="BC8" s="2"/>
      <c r="BD8" s="125">
        <v>2008</v>
      </c>
      <c r="BE8" s="21">
        <v>2009</v>
      </c>
      <c r="BF8" s="21">
        <v>2010</v>
      </c>
      <c r="BG8" s="21">
        <v>2011</v>
      </c>
      <c r="BH8" s="21">
        <v>2012</v>
      </c>
      <c r="BI8" s="7" t="s">
        <v>34</v>
      </c>
    </row>
    <row r="9" spans="1:61" x14ac:dyDescent="0.3">
      <c r="A9" s="28" t="s">
        <v>6</v>
      </c>
      <c r="B9" s="29">
        <f>SUMIF(ventas_producto,$A9,ventas_unidades)</f>
        <v>110903</v>
      </c>
      <c r="C9" s="33">
        <f>SUMIF(ventas_producto,$A9,ventas_total)</f>
        <v>650543568</v>
      </c>
      <c r="D9" s="79"/>
      <c r="E9" s="120"/>
      <c r="F9" s="120"/>
      <c r="G9" s="120"/>
      <c r="H9" s="120"/>
      <c r="I9" s="120"/>
      <c r="J9" s="120"/>
      <c r="L9" s="107"/>
      <c r="M9" s="122"/>
      <c r="N9" s="122"/>
      <c r="O9" s="122"/>
      <c r="P9" s="122"/>
      <c r="Q9" s="122"/>
      <c r="S9" s="89">
        <f t="shared" ref="S9:X13" si="8">SUMIFS(ventas_unidades,ventas_producto,$A9,ventas_vendedor,S$8)</f>
        <v>23075</v>
      </c>
      <c r="T9" s="29">
        <f t="shared" si="8"/>
        <v>27346</v>
      </c>
      <c r="U9" s="29">
        <f t="shared" si="8"/>
        <v>9125</v>
      </c>
      <c r="V9" s="29">
        <f t="shared" si="8"/>
        <v>21722</v>
      </c>
      <c r="W9" s="29">
        <f t="shared" si="8"/>
        <v>18175</v>
      </c>
      <c r="X9" s="29">
        <f t="shared" si="8"/>
        <v>11460</v>
      </c>
      <c r="Y9" s="29">
        <f>SUM(S9:X9)</f>
        <v>110903</v>
      </c>
      <c r="AA9" s="103">
        <f t="shared" ref="AA9:AF13" si="9">SUMIFS(ventas_total,ventas_producto,$A9,ventas_vendedor,AA$8)</f>
        <v>109144041</v>
      </c>
      <c r="AB9" s="63">
        <f t="shared" si="9"/>
        <v>193222871</v>
      </c>
      <c r="AC9" s="63">
        <f t="shared" si="9"/>
        <v>59797810</v>
      </c>
      <c r="AD9" s="63">
        <f t="shared" si="9"/>
        <v>135280108</v>
      </c>
      <c r="AE9" s="63">
        <f t="shared" si="9"/>
        <v>103659911</v>
      </c>
      <c r="AF9" s="63">
        <f t="shared" si="9"/>
        <v>49438827</v>
      </c>
      <c r="AG9" s="63">
        <f>SUM(AA9:AF9)</f>
        <v>650543568</v>
      </c>
      <c r="AI9" s="81">
        <f t="shared" ref="AI9:AM13" si="10">SUMIFS(ventas_unidades,ventas_producto,$A9,ventas_region,AI$8)</f>
        <v>101037</v>
      </c>
      <c r="AJ9" s="17">
        <f>SUMIFS(ventas_unidades,ventas_producto,$A9,ventas_region,AJ$8)</f>
        <v>0</v>
      </c>
      <c r="AK9" s="17">
        <f t="shared" si="10"/>
        <v>2738</v>
      </c>
      <c r="AL9" s="17">
        <f t="shared" si="10"/>
        <v>0</v>
      </c>
      <c r="AM9" s="17">
        <f t="shared" si="10"/>
        <v>7128</v>
      </c>
      <c r="AN9" s="17">
        <f>SUM(AI9:AM9)</f>
        <v>110903</v>
      </c>
      <c r="AP9" s="96">
        <f t="shared" ref="AP9:AT13" si="11">SUMIFS(ventas_total,ventas_producto,$A9,ventas_region,AP$8)</f>
        <v>640574818</v>
      </c>
      <c r="AQ9" s="58">
        <f t="shared" si="11"/>
        <v>0</v>
      </c>
      <c r="AR9" s="58">
        <f t="shared" si="11"/>
        <v>844832</v>
      </c>
      <c r="AS9" s="58">
        <f t="shared" si="11"/>
        <v>0</v>
      </c>
      <c r="AT9" s="58">
        <f t="shared" si="11"/>
        <v>9123918</v>
      </c>
      <c r="AU9" s="58">
        <f>SUM(AP9:AT9)</f>
        <v>650543568</v>
      </c>
      <c r="AW9" s="81">
        <f>SUMIFS(ventas_unidades,ventas_producto,$A9,ventas_año,AW$8)</f>
        <v>33032</v>
      </c>
      <c r="AX9" s="17">
        <f>SUMIFS(ventas_unidades,ventas_producto,$A9,ventas_año,AX$8)</f>
        <v>32671</v>
      </c>
      <c r="AY9" s="17">
        <f>SUMIFS(ventas_unidades,ventas_producto,$A9,ventas_año,AY$8)</f>
        <v>35334</v>
      </c>
      <c r="AZ9" s="17">
        <f>SUMIFS(ventas_unidades,ventas_producto,$A9,ventas_año,AZ$8)</f>
        <v>2738</v>
      </c>
      <c r="BA9" s="17">
        <f>SUMIFS(ventas_unidades,ventas_producto,$A9,ventas_año,BA$8)</f>
        <v>7128</v>
      </c>
      <c r="BB9" s="17">
        <f>SUM(AW9:BA9)</f>
        <v>110903</v>
      </c>
      <c r="BD9" s="96">
        <f>SUMIFS(ventas_total,ventas_producto,$A9,ventas_año,BD$8)</f>
        <v>218669111</v>
      </c>
      <c r="BE9" s="58">
        <f>SUMIFS(ventas_total,ventas_producto,$A9,ventas_año,BE$8)</f>
        <v>203341463</v>
      </c>
      <c r="BF9" s="58">
        <f>SUMIFS(ventas_total,ventas_producto,$A9,ventas_año,BF$8)</f>
        <v>218564244</v>
      </c>
      <c r="BG9" s="58">
        <f>SUMIFS(ventas_total,ventas_producto,$A9,ventas_año,BG$8)</f>
        <v>844832</v>
      </c>
      <c r="BH9" s="58">
        <f>SUMIFS(ventas_total,ventas_producto,$A9,ventas_año,BH$8)</f>
        <v>9123918</v>
      </c>
      <c r="BI9" s="58">
        <f>SUM(BD9:BH9)</f>
        <v>650543568</v>
      </c>
    </row>
    <row r="10" spans="1:61" x14ac:dyDescent="0.3">
      <c r="A10" s="5" t="s">
        <v>33</v>
      </c>
      <c r="B10" s="30">
        <f>SUMIF(ventas_producto,$A10,ventas_unidades)</f>
        <v>304519</v>
      </c>
      <c r="C10" s="34">
        <f>SUMIF(ventas_producto,$A10,ventas_total)</f>
        <v>578124392</v>
      </c>
      <c r="D10" s="79"/>
      <c r="E10" s="120"/>
      <c r="F10" s="120"/>
      <c r="G10" s="120"/>
      <c r="H10" s="120"/>
      <c r="I10" s="120"/>
      <c r="J10" s="120"/>
      <c r="L10" s="107"/>
      <c r="M10" s="122"/>
      <c r="N10" s="122"/>
      <c r="O10" s="122"/>
      <c r="P10" s="122"/>
      <c r="Q10" s="122"/>
      <c r="S10" s="90">
        <f t="shared" si="8"/>
        <v>14026</v>
      </c>
      <c r="T10" s="30">
        <f t="shared" si="8"/>
        <v>51553</v>
      </c>
      <c r="U10" s="30">
        <f t="shared" si="8"/>
        <v>9023</v>
      </c>
      <c r="V10" s="30">
        <f t="shared" si="8"/>
        <v>197836</v>
      </c>
      <c r="W10" s="30">
        <f t="shared" si="8"/>
        <v>15576</v>
      </c>
      <c r="X10" s="30">
        <f t="shared" si="8"/>
        <v>16505</v>
      </c>
      <c r="Y10" s="30">
        <f t="shared" ref="Y10:Y13" si="12">SUM(S10:X10)</f>
        <v>304519</v>
      </c>
      <c r="AA10" s="104">
        <f t="shared" si="9"/>
        <v>53223672</v>
      </c>
      <c r="AB10" s="64">
        <f t="shared" si="9"/>
        <v>271532147</v>
      </c>
      <c r="AC10" s="64">
        <f t="shared" si="9"/>
        <v>63246530</v>
      </c>
      <c r="AD10" s="64">
        <f t="shared" si="9"/>
        <v>45710704</v>
      </c>
      <c r="AE10" s="64">
        <f t="shared" si="9"/>
        <v>93604609</v>
      </c>
      <c r="AF10" s="64">
        <f t="shared" si="9"/>
        <v>50806730</v>
      </c>
      <c r="AG10" s="64">
        <f t="shared" ref="AG10:AG13" si="13">SUM(AA10:AF10)</f>
        <v>578124392</v>
      </c>
      <c r="AI10" s="82">
        <f t="shared" si="10"/>
        <v>0</v>
      </c>
      <c r="AJ10" s="46">
        <f t="shared" si="10"/>
        <v>105314</v>
      </c>
      <c r="AK10" s="46">
        <f t="shared" si="10"/>
        <v>1928</v>
      </c>
      <c r="AL10" s="46">
        <f t="shared" si="10"/>
        <v>197277</v>
      </c>
      <c r="AM10" s="46">
        <f t="shared" si="10"/>
        <v>0</v>
      </c>
      <c r="AN10" s="46">
        <f t="shared" ref="AN10:AN13" si="14">SUM(AI10:AM10)</f>
        <v>304519</v>
      </c>
      <c r="AP10" s="97">
        <f t="shared" si="11"/>
        <v>0</v>
      </c>
      <c r="AQ10" s="69">
        <f t="shared" si="11"/>
        <v>576702901</v>
      </c>
      <c r="AR10" s="69">
        <f t="shared" si="11"/>
        <v>108214</v>
      </c>
      <c r="AS10" s="69">
        <f t="shared" si="11"/>
        <v>1313277</v>
      </c>
      <c r="AT10" s="69">
        <f t="shared" si="11"/>
        <v>0</v>
      </c>
      <c r="AU10" s="69">
        <f t="shared" ref="AU10:AU13" si="15">SUM(AP10:AT10)</f>
        <v>578124392</v>
      </c>
      <c r="AW10" s="82">
        <f>SUMIFS(ventas_unidades,ventas_producto,$A10,ventas_año,AW$8)</f>
        <v>32696</v>
      </c>
      <c r="AX10" s="46">
        <f>SUMIFS(ventas_unidades,ventas_producto,$A10,ventas_año,AX$8)</f>
        <v>31651</v>
      </c>
      <c r="AY10" s="46">
        <f>SUMIFS(ventas_unidades,ventas_producto,$A10,ventas_año,AY$8)</f>
        <v>40967</v>
      </c>
      <c r="AZ10" s="46">
        <f>SUMIFS(ventas_unidades,ventas_producto,$A10,ventas_año,AZ$8)</f>
        <v>4903</v>
      </c>
      <c r="BA10" s="46">
        <f>SUMIFS(ventas_unidades,ventas_producto,$A10,ventas_año,BA$8)</f>
        <v>194302</v>
      </c>
      <c r="BB10" s="46">
        <f t="shared" ref="BB10:BB13" si="16">SUM(AW10:BA10)</f>
        <v>304519</v>
      </c>
      <c r="BD10" s="97">
        <f>SUMIFS(ventas_total,ventas_producto,$A10,ventas_año,BD$8)</f>
        <v>160364763</v>
      </c>
      <c r="BE10" s="69">
        <f>SUMIFS(ventas_total,ventas_producto,$A10,ventas_año,BE$8)</f>
        <v>201880917</v>
      </c>
      <c r="BF10" s="69">
        <f>SUMIFS(ventas_total,ventas_producto,$A10,ventas_año,BF$8)</f>
        <v>214457221</v>
      </c>
      <c r="BG10" s="69">
        <f>SUMIFS(ventas_total,ventas_producto,$A10,ventas_año,BG$8)</f>
        <v>483929</v>
      </c>
      <c r="BH10" s="69">
        <f>SUMIFS(ventas_total,ventas_producto,$A10,ventas_año,BH$8)</f>
        <v>937562</v>
      </c>
      <c r="BI10" s="69">
        <f t="shared" ref="BI10:BI13" si="17">SUM(BD10:BH10)</f>
        <v>578124392</v>
      </c>
    </row>
    <row r="11" spans="1:61" x14ac:dyDescent="0.3">
      <c r="A11" s="27" t="s">
        <v>15</v>
      </c>
      <c r="B11" s="31">
        <f>SUMIF(ventas_producto,$A11,ventas_unidades)</f>
        <v>118380</v>
      </c>
      <c r="C11" s="35">
        <f>SUMIF(ventas_producto,$A11,ventas_total)</f>
        <v>690157736</v>
      </c>
      <c r="D11" s="79"/>
      <c r="E11" s="120"/>
      <c r="F11" s="120"/>
      <c r="G11" s="120"/>
      <c r="H11" s="120"/>
      <c r="I11" s="120"/>
      <c r="J11" s="120"/>
      <c r="L11" s="107"/>
      <c r="M11" s="122"/>
      <c r="N11" s="122"/>
      <c r="O11" s="122"/>
      <c r="P11" s="122"/>
      <c r="Q11" s="122"/>
      <c r="S11" s="91">
        <f t="shared" si="8"/>
        <v>37242</v>
      </c>
      <c r="T11" s="31">
        <f t="shared" si="8"/>
        <v>19565</v>
      </c>
      <c r="U11" s="31">
        <f t="shared" si="8"/>
        <v>6969</v>
      </c>
      <c r="V11" s="31">
        <f t="shared" si="8"/>
        <v>18868</v>
      </c>
      <c r="W11" s="31">
        <f t="shared" si="8"/>
        <v>10706</v>
      </c>
      <c r="X11" s="31">
        <f t="shared" si="8"/>
        <v>25030</v>
      </c>
      <c r="Y11" s="31">
        <f t="shared" si="12"/>
        <v>118380</v>
      </c>
      <c r="AA11" s="105">
        <f t="shared" si="9"/>
        <v>240818885</v>
      </c>
      <c r="AB11" s="65">
        <f t="shared" si="9"/>
        <v>131950052</v>
      </c>
      <c r="AC11" s="65">
        <f t="shared" si="9"/>
        <v>40433106</v>
      </c>
      <c r="AD11" s="65">
        <f t="shared" si="9"/>
        <v>31481567</v>
      </c>
      <c r="AE11" s="65">
        <f t="shared" si="9"/>
        <v>77744662</v>
      </c>
      <c r="AF11" s="65">
        <f t="shared" si="9"/>
        <v>167729464</v>
      </c>
      <c r="AG11" s="65">
        <f t="shared" si="13"/>
        <v>690157736</v>
      </c>
      <c r="AI11" s="83">
        <f t="shared" si="10"/>
        <v>8943</v>
      </c>
      <c r="AJ11" s="47">
        <f t="shared" si="10"/>
        <v>0</v>
      </c>
      <c r="AK11" s="47">
        <f t="shared" si="10"/>
        <v>109437</v>
      </c>
      <c r="AL11" s="47">
        <f t="shared" si="10"/>
        <v>0</v>
      </c>
      <c r="AM11" s="47">
        <f t="shared" si="10"/>
        <v>0</v>
      </c>
      <c r="AN11" s="47">
        <f t="shared" si="14"/>
        <v>118380</v>
      </c>
      <c r="AP11" s="98">
        <f t="shared" si="11"/>
        <v>4328234</v>
      </c>
      <c r="AQ11" s="70">
        <f t="shared" si="11"/>
        <v>0</v>
      </c>
      <c r="AR11" s="70">
        <f t="shared" si="11"/>
        <v>685829502</v>
      </c>
      <c r="AS11" s="70">
        <f t="shared" si="11"/>
        <v>0</v>
      </c>
      <c r="AT11" s="70">
        <f t="shared" si="11"/>
        <v>0</v>
      </c>
      <c r="AU11" s="70">
        <f t="shared" si="15"/>
        <v>690157736</v>
      </c>
      <c r="AW11" s="83">
        <f>SUMIFS(ventas_unidades,ventas_producto,$A11,ventas_año,AW$8)</f>
        <v>39124</v>
      </c>
      <c r="AX11" s="47">
        <f>SUMIFS(ventas_unidades,ventas_producto,$A11,ventas_año,AX$8)</f>
        <v>34000</v>
      </c>
      <c r="AY11" s="47">
        <f>SUMIFS(ventas_unidades,ventas_producto,$A11,ventas_año,AY$8)</f>
        <v>31330</v>
      </c>
      <c r="AZ11" s="47">
        <f>SUMIFS(ventas_unidades,ventas_producto,$A11,ventas_año,AZ$8)</f>
        <v>13926</v>
      </c>
      <c r="BA11" s="47">
        <f>SUMIFS(ventas_unidades,ventas_producto,$A11,ventas_año,BA$8)</f>
        <v>0</v>
      </c>
      <c r="BB11" s="47">
        <f t="shared" si="16"/>
        <v>118380</v>
      </c>
      <c r="BD11" s="98">
        <f>SUMIFS(ventas_total,ventas_producto,$A11,ventas_año,BD$8)</f>
        <v>220801841</v>
      </c>
      <c r="BE11" s="70">
        <f>SUMIFS(ventas_total,ventas_producto,$A11,ventas_año,BE$8)</f>
        <v>239992813</v>
      </c>
      <c r="BF11" s="70">
        <f>SUMIFS(ventas_total,ventas_producto,$A11,ventas_año,BF$8)</f>
        <v>216914467</v>
      </c>
      <c r="BG11" s="70">
        <f>SUMIFS(ventas_total,ventas_producto,$A11,ventas_año,BG$8)</f>
        <v>12448615</v>
      </c>
      <c r="BH11" s="70">
        <f>SUMIFS(ventas_total,ventas_producto,$A11,ventas_año,BH$8)</f>
        <v>0</v>
      </c>
      <c r="BI11" s="70">
        <f t="shared" si="17"/>
        <v>690157736</v>
      </c>
    </row>
    <row r="12" spans="1:61" x14ac:dyDescent="0.3">
      <c r="A12" s="26" t="s">
        <v>18</v>
      </c>
      <c r="B12" s="30">
        <f>SUMIF(ventas_producto,$A12,ventas_unidades)</f>
        <v>115644</v>
      </c>
      <c r="C12" s="34">
        <f>SUMIF(ventas_producto,$A12,ventas_total)</f>
        <v>654943915</v>
      </c>
      <c r="D12" s="79"/>
      <c r="E12" s="120"/>
      <c r="F12" s="120"/>
      <c r="G12" s="120"/>
      <c r="H12" s="120"/>
      <c r="I12" s="120"/>
      <c r="J12" s="120"/>
      <c r="L12" s="107"/>
      <c r="M12" s="122"/>
      <c r="N12" s="122"/>
      <c r="O12" s="122"/>
      <c r="P12" s="122"/>
      <c r="Q12" s="122"/>
      <c r="S12" s="90">
        <f t="shared" si="8"/>
        <v>34352</v>
      </c>
      <c r="T12" s="30">
        <f t="shared" si="8"/>
        <v>12991</v>
      </c>
      <c r="U12" s="30">
        <f t="shared" si="8"/>
        <v>2096</v>
      </c>
      <c r="V12" s="30">
        <f t="shared" si="8"/>
        <v>5457</v>
      </c>
      <c r="W12" s="30">
        <f t="shared" si="8"/>
        <v>55164</v>
      </c>
      <c r="X12" s="30">
        <f t="shared" si="8"/>
        <v>5584</v>
      </c>
      <c r="Y12" s="30">
        <f t="shared" si="12"/>
        <v>115644</v>
      </c>
      <c r="AA12" s="104">
        <f t="shared" si="9"/>
        <v>169977929</v>
      </c>
      <c r="AB12" s="64">
        <f t="shared" si="9"/>
        <v>75839132</v>
      </c>
      <c r="AC12" s="64">
        <f t="shared" si="9"/>
        <v>31378227</v>
      </c>
      <c r="AD12" s="64">
        <f t="shared" si="9"/>
        <v>23001252</v>
      </c>
      <c r="AE12" s="64">
        <f t="shared" si="9"/>
        <v>336958448</v>
      </c>
      <c r="AF12" s="64">
        <f t="shared" si="9"/>
        <v>17788927</v>
      </c>
      <c r="AG12" s="64">
        <f t="shared" si="13"/>
        <v>654943915</v>
      </c>
      <c r="AI12" s="82">
        <f t="shared" si="10"/>
        <v>129</v>
      </c>
      <c r="AJ12" s="46">
        <f t="shared" si="10"/>
        <v>0</v>
      </c>
      <c r="AK12" s="46">
        <f t="shared" si="10"/>
        <v>1927</v>
      </c>
      <c r="AL12" s="46">
        <f t="shared" si="10"/>
        <v>113588</v>
      </c>
      <c r="AM12" s="46">
        <f t="shared" si="10"/>
        <v>0</v>
      </c>
      <c r="AN12" s="46">
        <f t="shared" si="14"/>
        <v>115644</v>
      </c>
      <c r="AP12" s="97">
        <f t="shared" si="11"/>
        <v>1203910</v>
      </c>
      <c r="AQ12" s="69">
        <f t="shared" si="11"/>
        <v>0</v>
      </c>
      <c r="AR12" s="69">
        <f t="shared" si="11"/>
        <v>923982</v>
      </c>
      <c r="AS12" s="69">
        <f t="shared" si="11"/>
        <v>652816023</v>
      </c>
      <c r="AT12" s="69">
        <f t="shared" si="11"/>
        <v>0</v>
      </c>
      <c r="AU12" s="69">
        <f t="shared" si="15"/>
        <v>654943915</v>
      </c>
      <c r="AW12" s="82">
        <f>SUMIFS(ventas_unidades,ventas_producto,$A12,ventas_año,AW$8)</f>
        <v>40573</v>
      </c>
      <c r="AX12" s="46">
        <f>SUMIFS(ventas_unidades,ventas_producto,$A12,ventas_año,AX$8)</f>
        <v>39442</v>
      </c>
      <c r="AY12" s="46">
        <f>SUMIFS(ventas_unidades,ventas_producto,$A12,ventas_año,AY$8)</f>
        <v>33573</v>
      </c>
      <c r="AZ12" s="46">
        <f>SUMIFS(ventas_unidades,ventas_producto,$A12,ventas_año,AZ$8)</f>
        <v>129</v>
      </c>
      <c r="BA12" s="46">
        <f>SUMIFS(ventas_unidades,ventas_producto,$A12,ventas_año,BA$8)</f>
        <v>1927</v>
      </c>
      <c r="BB12" s="46">
        <f t="shared" si="16"/>
        <v>115644</v>
      </c>
      <c r="BD12" s="97">
        <f>SUMIFS(ventas_total,ventas_producto,$A12,ventas_año,BD$8)</f>
        <v>190929354</v>
      </c>
      <c r="BE12" s="69">
        <f>SUMIFS(ventas_total,ventas_producto,$A12,ventas_año,BE$8)</f>
        <v>221383553</v>
      </c>
      <c r="BF12" s="69">
        <f>SUMIFS(ventas_total,ventas_producto,$A12,ventas_año,BF$8)</f>
        <v>240503116</v>
      </c>
      <c r="BG12" s="69">
        <f>SUMIFS(ventas_total,ventas_producto,$A12,ventas_año,BG$8)</f>
        <v>1203910</v>
      </c>
      <c r="BH12" s="69">
        <f>SUMIFS(ventas_total,ventas_producto,$A12,ventas_año,BH$8)</f>
        <v>923982</v>
      </c>
      <c r="BI12" s="69">
        <f t="shared" si="17"/>
        <v>654943915</v>
      </c>
    </row>
    <row r="13" spans="1:61" ht="15" thickBot="1" x14ac:dyDescent="0.35">
      <c r="A13" s="4" t="s">
        <v>47</v>
      </c>
      <c r="B13" s="31">
        <f>SUMIF(ventas_producto,$A13,ventas_unidades)</f>
        <v>208781</v>
      </c>
      <c r="C13" s="35">
        <f>SUMIF(ventas_producto,$A13,ventas_total)</f>
        <v>656247934</v>
      </c>
      <c r="D13" s="79"/>
      <c r="E13" s="120"/>
      <c r="F13" s="120"/>
      <c r="G13" s="120"/>
      <c r="H13" s="120"/>
      <c r="I13" s="120"/>
      <c r="J13" s="120"/>
      <c r="L13" s="107"/>
      <c r="M13" s="122"/>
      <c r="N13" s="122"/>
      <c r="O13" s="122"/>
      <c r="P13" s="122"/>
      <c r="Q13" s="122"/>
      <c r="S13" s="91">
        <f t="shared" si="8"/>
        <v>12970</v>
      </c>
      <c r="T13" s="31">
        <f t="shared" si="8"/>
        <v>14165</v>
      </c>
      <c r="U13" s="31">
        <f t="shared" si="8"/>
        <v>5143</v>
      </c>
      <c r="V13" s="31">
        <f t="shared" si="8"/>
        <v>112414</v>
      </c>
      <c r="W13" s="31">
        <f t="shared" si="8"/>
        <v>22674</v>
      </c>
      <c r="X13" s="31">
        <f t="shared" si="8"/>
        <v>41415</v>
      </c>
      <c r="Y13" s="31">
        <f t="shared" si="12"/>
        <v>208781</v>
      </c>
      <c r="AA13" s="105">
        <f t="shared" si="9"/>
        <v>71950539</v>
      </c>
      <c r="AB13" s="65">
        <f t="shared" si="9"/>
        <v>88920515</v>
      </c>
      <c r="AC13" s="65">
        <f t="shared" si="9"/>
        <v>31867112</v>
      </c>
      <c r="AD13" s="65">
        <f t="shared" si="9"/>
        <v>76784060</v>
      </c>
      <c r="AE13" s="65">
        <f t="shared" si="9"/>
        <v>110535932</v>
      </c>
      <c r="AF13" s="65">
        <f t="shared" si="9"/>
        <v>276189776</v>
      </c>
      <c r="AG13" s="65">
        <f t="shared" si="13"/>
        <v>656247934</v>
      </c>
      <c r="AI13" s="83">
        <f t="shared" si="10"/>
        <v>0</v>
      </c>
      <c r="AJ13" s="47">
        <f t="shared" si="10"/>
        <v>107946</v>
      </c>
      <c r="AK13" s="47">
        <f t="shared" si="10"/>
        <v>0</v>
      </c>
      <c r="AL13" s="47">
        <f t="shared" si="10"/>
        <v>1927</v>
      </c>
      <c r="AM13" s="47">
        <f t="shared" si="10"/>
        <v>98908</v>
      </c>
      <c r="AN13" s="47">
        <f t="shared" si="14"/>
        <v>208781</v>
      </c>
      <c r="AP13" s="98">
        <f t="shared" si="11"/>
        <v>0</v>
      </c>
      <c r="AQ13" s="70">
        <f t="shared" si="11"/>
        <v>101435</v>
      </c>
      <c r="AR13" s="70">
        <f t="shared" si="11"/>
        <v>0</v>
      </c>
      <c r="AS13" s="70">
        <f t="shared" si="11"/>
        <v>548392</v>
      </c>
      <c r="AT13" s="70">
        <f t="shared" si="11"/>
        <v>655598107</v>
      </c>
      <c r="AU13" s="70">
        <f t="shared" si="15"/>
        <v>656247934</v>
      </c>
      <c r="AW13" s="83">
        <f>SUMIFS(ventas_unidades,ventas_producto,$A13,ventas_año,AW$8)</f>
        <v>36557</v>
      </c>
      <c r="AX13" s="47">
        <f>SUMIFS(ventas_unidades,ventas_producto,$A13,ventas_año,AX$8)</f>
        <v>28900</v>
      </c>
      <c r="AY13" s="47">
        <f>SUMIFS(ventas_unidades,ventas_producto,$A13,ventas_año,AY$8)</f>
        <v>33451</v>
      </c>
      <c r="AZ13" s="47">
        <f>SUMIFS(ventas_unidades,ventas_producto,$A13,ventas_año,AZ$8)</f>
        <v>107946</v>
      </c>
      <c r="BA13" s="47">
        <f>SUMIFS(ventas_unidades,ventas_producto,$A13,ventas_año,BA$8)</f>
        <v>1927</v>
      </c>
      <c r="BB13" s="47">
        <f t="shared" si="16"/>
        <v>208781</v>
      </c>
      <c r="BD13" s="98">
        <f>SUMIFS(ventas_total,ventas_producto,$A13,ventas_año,BD$8)</f>
        <v>216479082</v>
      </c>
      <c r="BE13" s="70">
        <f>SUMIFS(ventas_total,ventas_producto,$A13,ventas_año,BE$8)</f>
        <v>240247726</v>
      </c>
      <c r="BF13" s="70">
        <f>SUMIFS(ventas_total,ventas_producto,$A13,ventas_año,BF$8)</f>
        <v>198871299</v>
      </c>
      <c r="BG13" s="70">
        <f>SUMIFS(ventas_total,ventas_producto,$A13,ventas_año,BG$8)</f>
        <v>101435</v>
      </c>
      <c r="BH13" s="70">
        <f>SUMIFS(ventas_total,ventas_producto,$A13,ventas_año,BH$8)</f>
        <v>548392</v>
      </c>
      <c r="BI13" s="70">
        <f t="shared" si="17"/>
        <v>656247934</v>
      </c>
    </row>
    <row r="14" spans="1:61" ht="15.6" thickTop="1" thickBot="1" x14ac:dyDescent="0.35">
      <c r="A14" s="36" t="s">
        <v>34</v>
      </c>
      <c r="B14" s="116">
        <f>SUM(B9:B13)</f>
        <v>858227</v>
      </c>
      <c r="C14" s="115">
        <f>SUBTOTAL(109,estadisticas!$C$9:$C$13)</f>
        <v>3230017545</v>
      </c>
      <c r="D14" s="79"/>
      <c r="E14" s="120"/>
      <c r="F14" s="120"/>
      <c r="G14" s="120"/>
      <c r="H14" s="120"/>
      <c r="I14" s="120"/>
      <c r="J14" s="120"/>
      <c r="L14" s="107"/>
      <c r="M14" s="122"/>
      <c r="N14" s="122"/>
      <c r="O14" s="122"/>
      <c r="P14" s="122"/>
      <c r="Q14" s="122"/>
      <c r="S14" s="92">
        <f>SUM(S9:S13)</f>
        <v>121665</v>
      </c>
      <c r="T14" s="40">
        <f t="shared" ref="T14:X14" si="18">SUM(T9:T13)</f>
        <v>125620</v>
      </c>
      <c r="U14" s="40">
        <f t="shared" si="18"/>
        <v>32356</v>
      </c>
      <c r="V14" s="40">
        <f t="shared" si="18"/>
        <v>356297</v>
      </c>
      <c r="W14" s="40">
        <f t="shared" si="18"/>
        <v>122295</v>
      </c>
      <c r="X14" s="40">
        <f t="shared" si="18"/>
        <v>99994</v>
      </c>
      <c r="Y14" s="117">
        <f>SUM(Y9:Y13)</f>
        <v>858227</v>
      </c>
      <c r="AA14" s="106">
        <f>SUM(AA9:AA13)</f>
        <v>645115066</v>
      </c>
      <c r="AB14" s="66">
        <f t="shared" ref="AB14" si="19">SUM(AB9:AB13)</f>
        <v>761464717</v>
      </c>
      <c r="AC14" s="66">
        <f t="shared" ref="AC14" si="20">SUM(AC9:AC13)</f>
        <v>226722785</v>
      </c>
      <c r="AD14" s="66">
        <f t="shared" ref="AD14" si="21">SUM(AD9:AD13)</f>
        <v>312257691</v>
      </c>
      <c r="AE14" s="66">
        <f t="shared" ref="AE14" si="22">SUM(AE9:AE13)</f>
        <v>722503562</v>
      </c>
      <c r="AF14" s="66">
        <f t="shared" ref="AF14" si="23">SUM(AF9:AF13)</f>
        <v>561953724</v>
      </c>
      <c r="AG14" s="114">
        <f t="shared" ref="AG14" si="24">SUM(AG9:AG13)</f>
        <v>3230017545</v>
      </c>
      <c r="AI14" s="94">
        <f t="shared" ref="AI14:AM14" si="25">SUM(AI10:AI13)</f>
        <v>9072</v>
      </c>
      <c r="AJ14" s="50">
        <f t="shared" si="25"/>
        <v>213260</v>
      </c>
      <c r="AK14" s="50">
        <f t="shared" si="25"/>
        <v>113292</v>
      </c>
      <c r="AL14" s="50">
        <f t="shared" si="25"/>
        <v>312792</v>
      </c>
      <c r="AM14" s="50">
        <f t="shared" si="25"/>
        <v>98908</v>
      </c>
      <c r="AN14" s="117">
        <f>SUM(AN9:AN13)</f>
        <v>858227</v>
      </c>
      <c r="AP14" s="108">
        <f>SUM(AP9:AP13)</f>
        <v>646106962</v>
      </c>
      <c r="AQ14" s="68">
        <f t="shared" ref="AQ14:AU14" si="26">SUM(AQ9:AQ13)</f>
        <v>576804336</v>
      </c>
      <c r="AR14" s="68">
        <f t="shared" si="26"/>
        <v>687706530</v>
      </c>
      <c r="AS14" s="68">
        <f t="shared" si="26"/>
        <v>654677692</v>
      </c>
      <c r="AT14" s="68">
        <f t="shared" si="26"/>
        <v>664722025</v>
      </c>
      <c r="AU14" s="114">
        <f t="shared" si="26"/>
        <v>3230017545</v>
      </c>
      <c r="AW14" s="94">
        <f t="shared" ref="AW14:BA14" si="27">SUM(AW10:AW13)</f>
        <v>148950</v>
      </c>
      <c r="AX14" s="50">
        <f t="shared" si="27"/>
        <v>133993</v>
      </c>
      <c r="AY14" s="50">
        <f t="shared" si="27"/>
        <v>139321</v>
      </c>
      <c r="AZ14" s="50">
        <f t="shared" si="27"/>
        <v>126904</v>
      </c>
      <c r="BA14" s="50">
        <f t="shared" si="27"/>
        <v>198156</v>
      </c>
      <c r="BB14" s="117">
        <f>SUM(BB9:BB13)</f>
        <v>858227</v>
      </c>
      <c r="BD14" s="108">
        <f>SUM(BD9:BD13)</f>
        <v>1007244151</v>
      </c>
      <c r="BE14" s="68">
        <f t="shared" ref="BE14:BI14" si="28">SUM(BE9:BE13)</f>
        <v>1106846472</v>
      </c>
      <c r="BF14" s="68">
        <f t="shared" si="28"/>
        <v>1089310347</v>
      </c>
      <c r="BG14" s="68">
        <f t="shared" si="28"/>
        <v>15082721</v>
      </c>
      <c r="BH14" s="68">
        <f t="shared" si="28"/>
        <v>11533854</v>
      </c>
      <c r="BI14" s="114">
        <f t="shared" si="28"/>
        <v>3230017545</v>
      </c>
    </row>
    <row r="15" spans="1:61" ht="15" thickBot="1" x14ac:dyDescent="0.35"/>
    <row r="16" spans="1:61" ht="15" thickBot="1" x14ac:dyDescent="0.35">
      <c r="A16" s="7" t="s">
        <v>44</v>
      </c>
      <c r="B16" s="7" t="s">
        <v>4</v>
      </c>
      <c r="C16" s="7" t="s">
        <v>27</v>
      </c>
      <c r="E16" s="86" t="s">
        <v>6</v>
      </c>
      <c r="F16" s="52" t="s">
        <v>33</v>
      </c>
      <c r="G16" s="52" t="s">
        <v>15</v>
      </c>
      <c r="H16" s="52" t="s">
        <v>18</v>
      </c>
      <c r="I16" s="52" t="s">
        <v>47</v>
      </c>
      <c r="J16" s="52" t="s">
        <v>34</v>
      </c>
      <c r="L16" s="100" t="s">
        <v>6</v>
      </c>
      <c r="M16" s="56" t="s">
        <v>33</v>
      </c>
      <c r="N16" s="56" t="s">
        <v>15</v>
      </c>
      <c r="O16" s="56" t="s">
        <v>18</v>
      </c>
      <c r="P16" s="56" t="s">
        <v>47</v>
      </c>
      <c r="Q16" s="56" t="s">
        <v>34</v>
      </c>
      <c r="S16" s="93"/>
      <c r="T16" s="53"/>
      <c r="U16" s="53"/>
      <c r="V16" s="53"/>
      <c r="W16" s="53"/>
      <c r="X16" s="53"/>
      <c r="Y16" s="53"/>
      <c r="AA16" s="107"/>
      <c r="AB16" s="67"/>
      <c r="AC16" s="67"/>
      <c r="AD16" s="67"/>
      <c r="AE16" s="67"/>
      <c r="AF16" s="67"/>
      <c r="AG16" s="67"/>
      <c r="AI16" s="86" t="s">
        <v>31</v>
      </c>
      <c r="AJ16" s="52" t="s">
        <v>9</v>
      </c>
      <c r="AK16" s="52" t="s">
        <v>16</v>
      </c>
      <c r="AL16" s="52" t="s">
        <v>19</v>
      </c>
      <c r="AM16" s="52" t="s">
        <v>21</v>
      </c>
      <c r="AN16" s="52" t="s">
        <v>34</v>
      </c>
      <c r="AP16" s="80" t="s">
        <v>31</v>
      </c>
      <c r="AQ16" s="7" t="s">
        <v>9</v>
      </c>
      <c r="AR16" s="7" t="s">
        <v>16</v>
      </c>
      <c r="AS16" s="7" t="s">
        <v>19</v>
      </c>
      <c r="AT16" s="7" t="s">
        <v>21</v>
      </c>
      <c r="AU16" s="7" t="s">
        <v>34</v>
      </c>
      <c r="AW16" s="125">
        <v>2008</v>
      </c>
      <c r="AX16" s="21">
        <v>2009</v>
      </c>
      <c r="AY16" s="21">
        <v>2010</v>
      </c>
      <c r="AZ16" s="21">
        <v>2011</v>
      </c>
      <c r="BA16" s="21">
        <v>2012</v>
      </c>
      <c r="BB16" s="21" t="s">
        <v>34</v>
      </c>
      <c r="BC16" s="2"/>
      <c r="BD16" s="125">
        <v>2008</v>
      </c>
      <c r="BE16" s="21">
        <v>2009</v>
      </c>
      <c r="BF16" s="21">
        <v>2010</v>
      </c>
      <c r="BG16" s="21">
        <v>2011</v>
      </c>
      <c r="BH16" s="21">
        <v>2012</v>
      </c>
      <c r="BI16" s="7" t="s">
        <v>34</v>
      </c>
    </row>
    <row r="17" spans="1:61" x14ac:dyDescent="0.3">
      <c r="A17" s="28" t="s">
        <v>28</v>
      </c>
      <c r="B17" s="29">
        <f t="shared" ref="B17:B22" si="29">SUMIF(ventas_vendedor,$A17,ventas_unidades)</f>
        <v>121665</v>
      </c>
      <c r="C17" s="37">
        <f t="shared" ref="C17:C22" si="30">SUMIF(ventas_vendedor,$A17,ventas_total)</f>
        <v>645115066</v>
      </c>
      <c r="E17" s="81">
        <f t="shared" ref="E17:I22" si="31">SUMIFS(ventas_unidades,ventas_vendedor,$A17,ventas_producto,E$16)</f>
        <v>23075</v>
      </c>
      <c r="F17" s="17">
        <f t="shared" si="31"/>
        <v>14026</v>
      </c>
      <c r="G17" s="17">
        <f t="shared" si="31"/>
        <v>37242</v>
      </c>
      <c r="H17" s="17">
        <f t="shared" si="31"/>
        <v>34352</v>
      </c>
      <c r="I17" s="17">
        <f t="shared" si="31"/>
        <v>12970</v>
      </c>
      <c r="J17" s="17">
        <f>SUM(E17:I17)</f>
        <v>121665</v>
      </c>
      <c r="L17" s="96">
        <f t="shared" ref="L17:P22" si="32">SUMIFS(ventas_total,ventas_vendedor,$A17,ventas_producto,L$16)</f>
        <v>109144041</v>
      </c>
      <c r="M17" s="58">
        <f t="shared" si="32"/>
        <v>53223672</v>
      </c>
      <c r="N17" s="58">
        <f t="shared" si="32"/>
        <v>240818885</v>
      </c>
      <c r="O17" s="58">
        <f t="shared" si="32"/>
        <v>169977929</v>
      </c>
      <c r="P17" s="58">
        <f t="shared" si="32"/>
        <v>71950539</v>
      </c>
      <c r="Q17" s="58">
        <f>SUM(L17:P17)</f>
        <v>645115066</v>
      </c>
      <c r="S17" s="93"/>
      <c r="T17" s="53"/>
      <c r="U17" s="53"/>
      <c r="V17" s="53"/>
      <c r="W17" s="53"/>
      <c r="X17" s="53"/>
      <c r="Y17" s="53"/>
      <c r="AA17" s="107"/>
      <c r="AB17" s="67"/>
      <c r="AC17" s="67"/>
      <c r="AD17" s="67"/>
      <c r="AE17" s="67"/>
      <c r="AF17" s="67"/>
      <c r="AG17" s="67"/>
      <c r="AI17" s="81">
        <f t="shared" ref="AI17:AM22" si="33">SUMIFS(ventas_unidades,ventas_vendedor,$A17,ventas_region,AI$16)</f>
        <v>23075</v>
      </c>
      <c r="AJ17" s="17">
        <f t="shared" si="33"/>
        <v>7195</v>
      </c>
      <c r="AK17" s="17">
        <f t="shared" si="33"/>
        <v>39170</v>
      </c>
      <c r="AL17" s="17">
        <f t="shared" si="33"/>
        <v>39255</v>
      </c>
      <c r="AM17" s="17">
        <f t="shared" si="33"/>
        <v>12970</v>
      </c>
      <c r="AN17" s="17">
        <f>SUM(AI17:AM17)</f>
        <v>121665</v>
      </c>
      <c r="AP17" s="96">
        <f t="shared" ref="AP17:AT22" si="34">SUMIFS(ventas_total,ventas_vendedor,$A17,ventas_region,AP$16)</f>
        <v>109144041</v>
      </c>
      <c r="AQ17" s="58">
        <f t="shared" si="34"/>
        <v>52631529</v>
      </c>
      <c r="AR17" s="58">
        <f t="shared" si="34"/>
        <v>240927099</v>
      </c>
      <c r="AS17" s="58">
        <f t="shared" si="34"/>
        <v>170461858</v>
      </c>
      <c r="AT17" s="58">
        <f t="shared" si="34"/>
        <v>71950539</v>
      </c>
      <c r="AU17" s="58">
        <f>SUM(AP17:AT17)</f>
        <v>645115066</v>
      </c>
      <c r="AW17" s="81">
        <f>SUMIFS(ventas_unidades,ventas_vendedor,$A17,ventas_año,AW$16)</f>
        <v>33623</v>
      </c>
      <c r="AX17" s="17">
        <f>SUMIFS(ventas_unidades,ventas_vendedor,$A17,ventas_año,AX$16)</f>
        <v>42339</v>
      </c>
      <c r="AY17" s="17">
        <f>SUMIFS(ventas_unidades,ventas_vendedor,$A17,ventas_año,AY$16)</f>
        <v>33889</v>
      </c>
      <c r="AZ17" s="17">
        <f>SUMIFS(ventas_unidades,ventas_vendedor,$A17,ventas_año,AZ$16)</f>
        <v>9886</v>
      </c>
      <c r="BA17" s="17">
        <f>SUMIFS(ventas_unidades,ventas_vendedor,$A17,ventas_año,BA$16)</f>
        <v>1928</v>
      </c>
      <c r="BB17" s="17">
        <f>SUM(AW17:BA17)</f>
        <v>121665</v>
      </c>
      <c r="BD17" s="96">
        <f>SUMIFS(ventas_total,ventas_vendedor,$A17,ventas_año,BD$8)</f>
        <v>175048265</v>
      </c>
      <c r="BE17" s="58">
        <f>SUMIFS(ventas_total,ventas_vendedor,$A17,ventas_año,BE$8)</f>
        <v>244791087</v>
      </c>
      <c r="BF17" s="58">
        <f>SUMIFS(ventas_total,ventas_vendedor,$A17,ventas_año,BF$8)</f>
        <v>216563190</v>
      </c>
      <c r="BG17" s="58">
        <f>SUMIFS(ventas_total,ventas_vendedor,$A17,ventas_año,BG$8)</f>
        <v>8604310</v>
      </c>
      <c r="BH17" s="58">
        <f>SUMIFS(ventas_total,ventas_vendedor,$A17,ventas_año,BH$8)</f>
        <v>108214</v>
      </c>
      <c r="BI17" s="58">
        <f>SUM(BD17:BH17)</f>
        <v>645115066</v>
      </c>
    </row>
    <row r="18" spans="1:61" x14ac:dyDescent="0.3">
      <c r="A18" s="26" t="s">
        <v>8</v>
      </c>
      <c r="B18" s="30">
        <f t="shared" si="29"/>
        <v>125620</v>
      </c>
      <c r="C18" s="38">
        <f t="shared" si="30"/>
        <v>761464717</v>
      </c>
      <c r="E18" s="82">
        <f t="shared" si="31"/>
        <v>27346</v>
      </c>
      <c r="F18" s="18">
        <f t="shared" si="31"/>
        <v>51553</v>
      </c>
      <c r="G18" s="18">
        <f t="shared" si="31"/>
        <v>19565</v>
      </c>
      <c r="H18" s="18">
        <f t="shared" si="31"/>
        <v>12991</v>
      </c>
      <c r="I18" s="18">
        <f t="shared" si="31"/>
        <v>14165</v>
      </c>
      <c r="J18" s="18">
        <f t="shared" ref="J18:J22" si="35">SUM(E18:I18)</f>
        <v>125620</v>
      </c>
      <c r="L18" s="97">
        <f t="shared" si="32"/>
        <v>193222871</v>
      </c>
      <c r="M18" s="59">
        <f t="shared" si="32"/>
        <v>271532147</v>
      </c>
      <c r="N18" s="59">
        <f t="shared" si="32"/>
        <v>131950052</v>
      </c>
      <c r="O18" s="59">
        <f t="shared" si="32"/>
        <v>75839132</v>
      </c>
      <c r="P18" s="59">
        <f t="shared" si="32"/>
        <v>88920515</v>
      </c>
      <c r="Q18" s="59">
        <f t="shared" ref="Q18:Q22" si="36">SUM(L18:P18)</f>
        <v>761464717</v>
      </c>
      <c r="S18" s="93"/>
      <c r="T18" s="53"/>
      <c r="U18" s="53"/>
      <c r="V18" s="53"/>
      <c r="W18" s="53"/>
      <c r="X18" s="53"/>
      <c r="Y18" s="53"/>
      <c r="AA18" s="107"/>
      <c r="AB18" s="67"/>
      <c r="AC18" s="67"/>
      <c r="AD18" s="67"/>
      <c r="AE18" s="67"/>
      <c r="AF18" s="67"/>
      <c r="AG18" s="67"/>
      <c r="AI18" s="82">
        <f t="shared" si="33"/>
        <v>27346</v>
      </c>
      <c r="AJ18" s="18">
        <f t="shared" si="33"/>
        <v>51553</v>
      </c>
      <c r="AK18" s="18">
        <f t="shared" si="33"/>
        <v>19565</v>
      </c>
      <c r="AL18" s="18">
        <f t="shared" si="33"/>
        <v>12991</v>
      </c>
      <c r="AM18" s="18">
        <f t="shared" si="33"/>
        <v>14165</v>
      </c>
      <c r="AN18" s="18">
        <f t="shared" ref="AN18:AN22" si="37">SUM(AI18:AM18)</f>
        <v>125620</v>
      </c>
      <c r="AP18" s="97">
        <f t="shared" si="34"/>
        <v>193222871</v>
      </c>
      <c r="AQ18" s="59">
        <f t="shared" si="34"/>
        <v>271532147</v>
      </c>
      <c r="AR18" s="59">
        <f t="shared" si="34"/>
        <v>131950052</v>
      </c>
      <c r="AS18" s="59">
        <f t="shared" si="34"/>
        <v>75839132</v>
      </c>
      <c r="AT18" s="59">
        <f t="shared" si="34"/>
        <v>88920515</v>
      </c>
      <c r="AU18" s="59">
        <f t="shared" ref="AU18:AU22" si="38">SUM(AP18:AT18)</f>
        <v>761464717</v>
      </c>
      <c r="AW18" s="82">
        <f>SUMIFS(ventas_unidades,ventas_vendedor,$A18,ventas_año,AW$16)</f>
        <v>45235</v>
      </c>
      <c r="AX18" s="46">
        <f>SUMIFS(ventas_unidades,ventas_vendedor,$A18,ventas_año,AX$16)</f>
        <v>39435</v>
      </c>
      <c r="AY18" s="46">
        <f>SUMIFS(ventas_unidades,ventas_vendedor,$A18,ventas_año,AY$16)</f>
        <v>40950</v>
      </c>
      <c r="AZ18" s="46">
        <f>SUMIFS(ventas_unidades,ventas_vendedor,$A18,ventas_año,AZ$16)</f>
        <v>0</v>
      </c>
      <c r="BA18" s="46">
        <f>SUMIFS(ventas_unidades,ventas_vendedor,$A18,ventas_año,BA$16)</f>
        <v>0</v>
      </c>
      <c r="BB18" s="46">
        <f t="shared" ref="BB18:BB21" si="39">SUM(AW18:BA18)</f>
        <v>125620</v>
      </c>
      <c r="BD18" s="97">
        <f>SUMIFS(ventas_total,ventas_vendedor,$A18,ventas_año,BD$8)</f>
        <v>275531995</v>
      </c>
      <c r="BE18" s="69">
        <f>SUMIFS(ventas_total,ventas_vendedor,$A18,ventas_año,BE$8)</f>
        <v>271002529</v>
      </c>
      <c r="BF18" s="69">
        <f>SUMIFS(ventas_total,ventas_vendedor,$A18,ventas_año,BF$8)</f>
        <v>214930193</v>
      </c>
      <c r="BG18" s="69">
        <f>SUMIFS(ventas_total,ventas_vendedor,$A18,ventas_año,BG$8)</f>
        <v>0</v>
      </c>
      <c r="BH18" s="69">
        <f>SUMIFS(ventas_total,ventas_vendedor,$A18,ventas_año,BH$8)</f>
        <v>0</v>
      </c>
      <c r="BI18" s="69">
        <f t="shared" ref="BI18:BI21" si="40">SUM(BD18:BH18)</f>
        <v>761464717</v>
      </c>
    </row>
    <row r="19" spans="1:61" x14ac:dyDescent="0.3">
      <c r="A19" s="27" t="s">
        <v>11</v>
      </c>
      <c r="B19" s="31">
        <f t="shared" si="29"/>
        <v>32356</v>
      </c>
      <c r="C19" s="39">
        <f t="shared" si="30"/>
        <v>226722785</v>
      </c>
      <c r="E19" s="83">
        <f t="shared" si="31"/>
        <v>9125</v>
      </c>
      <c r="F19" s="19">
        <f t="shared" si="31"/>
        <v>9023</v>
      </c>
      <c r="G19" s="19">
        <f t="shared" si="31"/>
        <v>6969</v>
      </c>
      <c r="H19" s="19">
        <f t="shared" si="31"/>
        <v>2096</v>
      </c>
      <c r="I19" s="19">
        <f t="shared" si="31"/>
        <v>5143</v>
      </c>
      <c r="J19" s="19">
        <f t="shared" si="35"/>
        <v>32356</v>
      </c>
      <c r="L19" s="98">
        <f t="shared" si="32"/>
        <v>59797810</v>
      </c>
      <c r="M19" s="60">
        <f t="shared" si="32"/>
        <v>63246530</v>
      </c>
      <c r="N19" s="60">
        <f t="shared" si="32"/>
        <v>40433106</v>
      </c>
      <c r="O19" s="60">
        <f t="shared" si="32"/>
        <v>31378227</v>
      </c>
      <c r="P19" s="60">
        <f t="shared" si="32"/>
        <v>31867112</v>
      </c>
      <c r="Q19" s="60">
        <f t="shared" si="36"/>
        <v>226722785</v>
      </c>
      <c r="S19" s="93"/>
      <c r="T19" s="53"/>
      <c r="U19" s="53"/>
      <c r="V19" s="53"/>
      <c r="W19" s="53"/>
      <c r="X19" s="53"/>
      <c r="Y19" s="53"/>
      <c r="AA19" s="107"/>
      <c r="AB19" s="67"/>
      <c r="AC19" s="67"/>
      <c r="AD19" s="67"/>
      <c r="AE19" s="67"/>
      <c r="AF19" s="67"/>
      <c r="AG19" s="67"/>
      <c r="AI19" s="83">
        <f t="shared" si="33"/>
        <v>9125</v>
      </c>
      <c r="AJ19" s="19">
        <f t="shared" si="33"/>
        <v>9023</v>
      </c>
      <c r="AK19" s="19">
        <f t="shared" si="33"/>
        <v>6969</v>
      </c>
      <c r="AL19" s="19">
        <f t="shared" si="33"/>
        <v>2096</v>
      </c>
      <c r="AM19" s="19">
        <f t="shared" si="33"/>
        <v>5143</v>
      </c>
      <c r="AN19" s="19">
        <f t="shared" si="37"/>
        <v>32356</v>
      </c>
      <c r="AP19" s="98">
        <f t="shared" si="34"/>
        <v>59797810</v>
      </c>
      <c r="AQ19" s="60">
        <f t="shared" si="34"/>
        <v>63246530</v>
      </c>
      <c r="AR19" s="60">
        <f t="shared" si="34"/>
        <v>40433106</v>
      </c>
      <c r="AS19" s="60">
        <f t="shared" si="34"/>
        <v>31378227</v>
      </c>
      <c r="AT19" s="60">
        <f t="shared" si="34"/>
        <v>31867112</v>
      </c>
      <c r="AU19" s="60">
        <f t="shared" si="38"/>
        <v>226722785</v>
      </c>
      <c r="AW19" s="83">
        <f>SUMIFS(ventas_unidades,ventas_vendedor,$A19,ventas_año,AW$16)</f>
        <v>12423</v>
      </c>
      <c r="AX19" s="47">
        <f>SUMIFS(ventas_unidades,ventas_vendedor,$A19,ventas_año,AX$16)</f>
        <v>12194</v>
      </c>
      <c r="AY19" s="47">
        <f>SUMIFS(ventas_unidades,ventas_vendedor,$A19,ventas_año,AY$16)</f>
        <v>7739</v>
      </c>
      <c r="AZ19" s="47">
        <f>SUMIFS(ventas_unidades,ventas_vendedor,$A19,ventas_año,AZ$16)</f>
        <v>0</v>
      </c>
      <c r="BA19" s="47">
        <f>SUMIFS(ventas_unidades,ventas_vendedor,$A19,ventas_año,BA$16)</f>
        <v>0</v>
      </c>
      <c r="BB19" s="47">
        <f t="shared" si="39"/>
        <v>32356</v>
      </c>
      <c r="BD19" s="98">
        <f>SUMIFS(ventas_total,ventas_vendedor,$A19,ventas_año,BD$8)</f>
        <v>48322205</v>
      </c>
      <c r="BE19" s="70">
        <f>SUMIFS(ventas_total,ventas_vendedor,$A19,ventas_año,BE$8)</f>
        <v>131956162</v>
      </c>
      <c r="BF19" s="70">
        <f>SUMIFS(ventas_total,ventas_vendedor,$A19,ventas_año,BF$8)</f>
        <v>46444418</v>
      </c>
      <c r="BG19" s="70">
        <f>SUMIFS(ventas_total,ventas_vendedor,$A19,ventas_año,BG$8)</f>
        <v>0</v>
      </c>
      <c r="BH19" s="70">
        <f>SUMIFS(ventas_total,ventas_vendedor,$A19,ventas_año,BH$8)</f>
        <v>0</v>
      </c>
      <c r="BI19" s="70">
        <f t="shared" si="40"/>
        <v>226722785</v>
      </c>
    </row>
    <row r="20" spans="1:61" x14ac:dyDescent="0.3">
      <c r="A20" s="26" t="s">
        <v>13</v>
      </c>
      <c r="B20" s="30">
        <f t="shared" si="29"/>
        <v>356297</v>
      </c>
      <c r="C20" s="38">
        <f t="shared" si="30"/>
        <v>312257691</v>
      </c>
      <c r="E20" s="82">
        <f t="shared" si="31"/>
        <v>21722</v>
      </c>
      <c r="F20" s="18">
        <f t="shared" si="31"/>
        <v>197836</v>
      </c>
      <c r="G20" s="18">
        <f t="shared" si="31"/>
        <v>18868</v>
      </c>
      <c r="H20" s="18">
        <f t="shared" si="31"/>
        <v>5457</v>
      </c>
      <c r="I20" s="18">
        <f t="shared" si="31"/>
        <v>112414</v>
      </c>
      <c r="J20" s="18">
        <f t="shared" si="35"/>
        <v>356297</v>
      </c>
      <c r="L20" s="97">
        <f t="shared" si="32"/>
        <v>135280108</v>
      </c>
      <c r="M20" s="59">
        <f t="shared" si="32"/>
        <v>45710704</v>
      </c>
      <c r="N20" s="59">
        <f t="shared" si="32"/>
        <v>31481567</v>
      </c>
      <c r="O20" s="59">
        <f t="shared" si="32"/>
        <v>23001252</v>
      </c>
      <c r="P20" s="59">
        <f t="shared" si="32"/>
        <v>76784060</v>
      </c>
      <c r="Q20" s="59">
        <f t="shared" si="36"/>
        <v>312257691</v>
      </c>
      <c r="S20" s="93"/>
      <c r="T20" s="53"/>
      <c r="U20" s="53"/>
      <c r="V20" s="53"/>
      <c r="W20" s="53"/>
      <c r="X20" s="53"/>
      <c r="Y20" s="53"/>
      <c r="AA20" s="107"/>
      <c r="AB20" s="67"/>
      <c r="AC20" s="67"/>
      <c r="AD20" s="67"/>
      <c r="AE20" s="67"/>
      <c r="AF20" s="67"/>
      <c r="AG20" s="67"/>
      <c r="AI20" s="82">
        <f t="shared" si="33"/>
        <v>30665</v>
      </c>
      <c r="AJ20" s="18">
        <f t="shared" si="33"/>
        <v>103585</v>
      </c>
      <c r="AK20" s="18">
        <f t="shared" si="33"/>
        <v>9925</v>
      </c>
      <c r="AL20" s="18">
        <f t="shared" si="33"/>
        <v>197831</v>
      </c>
      <c r="AM20" s="18">
        <f t="shared" si="33"/>
        <v>14291</v>
      </c>
      <c r="AN20" s="18">
        <f t="shared" si="37"/>
        <v>356297</v>
      </c>
      <c r="AP20" s="97">
        <f t="shared" si="34"/>
        <v>139608342</v>
      </c>
      <c r="AQ20" s="59">
        <f t="shared" si="34"/>
        <v>44964557</v>
      </c>
      <c r="AR20" s="59">
        <f t="shared" si="34"/>
        <v>27153333</v>
      </c>
      <c r="AS20" s="59">
        <f t="shared" si="34"/>
        <v>23830600</v>
      </c>
      <c r="AT20" s="59">
        <f t="shared" si="34"/>
        <v>76700859</v>
      </c>
      <c r="AU20" s="59">
        <f t="shared" si="38"/>
        <v>312257691</v>
      </c>
      <c r="AW20" s="82">
        <f>SUMIFS(ventas_unidades,ventas_vendedor,$A20,ventas_año,AW$16)</f>
        <v>20990</v>
      </c>
      <c r="AX20" s="46">
        <f>SUMIFS(ventas_unidades,ventas_vendedor,$A20,ventas_año,AX$16)</f>
        <v>11750</v>
      </c>
      <c r="AY20" s="46">
        <f>SUMIFS(ventas_unidades,ventas_vendedor,$A20,ventas_año,AY$16)</f>
        <v>24117</v>
      </c>
      <c r="AZ20" s="46">
        <f>SUMIFS(ventas_unidades,ventas_vendedor,$A20,ventas_año,AZ$16)</f>
        <v>107066</v>
      </c>
      <c r="BA20" s="46">
        <f>SUMIFS(ventas_unidades,ventas_vendedor,$A20,ventas_año,BA$16)</f>
        <v>192374</v>
      </c>
      <c r="BB20" s="46">
        <f t="shared" si="39"/>
        <v>356297</v>
      </c>
      <c r="BD20" s="97">
        <f>SUMIFS(ventas_total,ventas_vendedor,$A20,ventas_año,BD$8)</f>
        <v>109777406</v>
      </c>
      <c r="BE20" s="69">
        <f>SUMIFS(ventas_total,ventas_vendedor,$A20,ventas_año,BE$8)</f>
        <v>63876055</v>
      </c>
      <c r="BF20" s="69">
        <f>SUMIFS(ventas_total,ventas_vendedor,$A20,ventas_año,BF$8)</f>
        <v>133363447</v>
      </c>
      <c r="BG20" s="69">
        <f>SUMIFS(ventas_total,ventas_vendedor,$A20,ventas_año,BG$8)</f>
        <v>4411435</v>
      </c>
      <c r="BH20" s="69">
        <f>SUMIFS(ventas_total,ventas_vendedor,$A20,ventas_año,BH$8)</f>
        <v>829348</v>
      </c>
      <c r="BI20" s="69">
        <f t="shared" si="40"/>
        <v>312257691</v>
      </c>
    </row>
    <row r="21" spans="1:61" x14ac:dyDescent="0.3">
      <c r="A21" s="27" t="s">
        <v>29</v>
      </c>
      <c r="B21" s="31">
        <f t="shared" si="29"/>
        <v>122295</v>
      </c>
      <c r="C21" s="39">
        <f t="shared" si="30"/>
        <v>722503562</v>
      </c>
      <c r="E21" s="83">
        <f t="shared" si="31"/>
        <v>18175</v>
      </c>
      <c r="F21" s="19">
        <f t="shared" si="31"/>
        <v>15576</v>
      </c>
      <c r="G21" s="19">
        <f t="shared" si="31"/>
        <v>10706</v>
      </c>
      <c r="H21" s="19">
        <f t="shared" si="31"/>
        <v>55164</v>
      </c>
      <c r="I21" s="19">
        <f t="shared" si="31"/>
        <v>22674</v>
      </c>
      <c r="J21" s="19">
        <f t="shared" si="35"/>
        <v>122295</v>
      </c>
      <c r="L21" s="98">
        <f t="shared" si="32"/>
        <v>103659911</v>
      </c>
      <c r="M21" s="60">
        <f t="shared" si="32"/>
        <v>93604609</v>
      </c>
      <c r="N21" s="60">
        <f t="shared" si="32"/>
        <v>77744662</v>
      </c>
      <c r="O21" s="60">
        <f t="shared" si="32"/>
        <v>336958448</v>
      </c>
      <c r="P21" s="60">
        <f t="shared" si="32"/>
        <v>110535932</v>
      </c>
      <c r="Q21" s="60">
        <f t="shared" si="36"/>
        <v>722503562</v>
      </c>
      <c r="S21" s="93"/>
      <c r="T21" s="53"/>
      <c r="U21" s="53"/>
      <c r="V21" s="53"/>
      <c r="W21" s="53"/>
      <c r="X21" s="53"/>
      <c r="Y21" s="53"/>
      <c r="AA21" s="107"/>
      <c r="AB21" s="67"/>
      <c r="AC21" s="67"/>
      <c r="AD21" s="67"/>
      <c r="AE21" s="67"/>
      <c r="AF21" s="67"/>
      <c r="AG21" s="67"/>
      <c r="AI21" s="83">
        <f t="shared" si="33"/>
        <v>11047</v>
      </c>
      <c r="AJ21" s="19">
        <f t="shared" si="33"/>
        <v>25399</v>
      </c>
      <c r="AK21" s="19">
        <f t="shared" si="33"/>
        <v>12633</v>
      </c>
      <c r="AL21" s="19">
        <f t="shared" si="33"/>
        <v>53237</v>
      </c>
      <c r="AM21" s="19">
        <f t="shared" si="33"/>
        <v>19979</v>
      </c>
      <c r="AN21" s="19">
        <f t="shared" si="37"/>
        <v>122295</v>
      </c>
      <c r="AP21" s="98">
        <f t="shared" si="34"/>
        <v>94535993</v>
      </c>
      <c r="AQ21" s="60">
        <f t="shared" si="34"/>
        <v>93622843</v>
      </c>
      <c r="AR21" s="60">
        <f t="shared" si="34"/>
        <v>78668644</v>
      </c>
      <c r="AS21" s="60">
        <f t="shared" si="34"/>
        <v>336034466</v>
      </c>
      <c r="AT21" s="60">
        <f t="shared" si="34"/>
        <v>119641616</v>
      </c>
      <c r="AU21" s="60">
        <f t="shared" si="38"/>
        <v>722503562</v>
      </c>
      <c r="AW21" s="83">
        <f>SUMIFS(ventas_unidades,ventas_vendedor,$A21,ventas_año,AW$16)</f>
        <v>44558</v>
      </c>
      <c r="AX21" s="47">
        <f>SUMIFS(ventas_unidades,ventas_vendedor,$A21,ventas_año,AX$16)</f>
        <v>27319</v>
      </c>
      <c r="AY21" s="47">
        <f>SUMIFS(ventas_unidades,ventas_vendedor,$A21,ventas_año,AY$16)</f>
        <v>31540</v>
      </c>
      <c r="AZ21" s="47">
        <f>SUMIFS(ventas_unidades,ventas_vendedor,$A21,ventas_año,AZ$16)</f>
        <v>9823</v>
      </c>
      <c r="BA21" s="47">
        <f>SUMIFS(ventas_unidades,ventas_vendedor,$A21,ventas_año,BA$16)</f>
        <v>9055</v>
      </c>
      <c r="BB21" s="47">
        <f t="shared" si="39"/>
        <v>122295</v>
      </c>
      <c r="BD21" s="98">
        <f>SUMIFS(ventas_total,ventas_vendedor,$A21,ventas_año,BD$8)</f>
        <v>223098228</v>
      </c>
      <c r="BE21" s="70">
        <f>SUMIFS(ventas_total,ventas_vendedor,$A21,ventas_año,BE$8)</f>
        <v>217807965</v>
      </c>
      <c r="BF21" s="70">
        <f>SUMIFS(ventas_total,ventas_vendedor,$A21,ventas_año,BF$8)</f>
        <v>271531235</v>
      </c>
      <c r="BG21" s="70">
        <f>SUMIFS(ventas_total,ventas_vendedor,$A21,ventas_año,BG$8)</f>
        <v>18234</v>
      </c>
      <c r="BH21" s="70">
        <f>SUMIFS(ventas_total,ventas_vendedor,$A21,ventas_año,BH$8)</f>
        <v>10047900</v>
      </c>
      <c r="BI21" s="70">
        <f t="shared" si="40"/>
        <v>722503562</v>
      </c>
    </row>
    <row r="22" spans="1:61" ht="15" thickBot="1" x14ac:dyDescent="0.35">
      <c r="A22" s="26" t="s">
        <v>30</v>
      </c>
      <c r="B22" s="30">
        <f t="shared" si="29"/>
        <v>99994</v>
      </c>
      <c r="C22" s="38">
        <f t="shared" si="30"/>
        <v>561953724</v>
      </c>
      <c r="E22" s="87">
        <f t="shared" si="31"/>
        <v>11460</v>
      </c>
      <c r="F22" s="51">
        <f t="shared" si="31"/>
        <v>16505</v>
      </c>
      <c r="G22" s="51">
        <f t="shared" si="31"/>
        <v>25030</v>
      </c>
      <c r="H22" s="51">
        <f t="shared" si="31"/>
        <v>5584</v>
      </c>
      <c r="I22" s="51">
        <f t="shared" si="31"/>
        <v>41415</v>
      </c>
      <c r="J22" s="51">
        <f t="shared" si="35"/>
        <v>99994</v>
      </c>
      <c r="L22" s="101">
        <f t="shared" si="32"/>
        <v>49438827</v>
      </c>
      <c r="M22" s="57">
        <f t="shared" si="32"/>
        <v>50806730</v>
      </c>
      <c r="N22" s="57">
        <f t="shared" si="32"/>
        <v>167729464</v>
      </c>
      <c r="O22" s="57">
        <f t="shared" si="32"/>
        <v>17788927</v>
      </c>
      <c r="P22" s="57">
        <f t="shared" si="32"/>
        <v>276189776</v>
      </c>
      <c r="Q22" s="57">
        <f t="shared" si="36"/>
        <v>561953724</v>
      </c>
      <c r="S22" s="93"/>
      <c r="T22" s="53"/>
      <c r="U22" s="53"/>
      <c r="V22" s="53"/>
      <c r="W22" s="53"/>
      <c r="X22" s="53"/>
      <c r="Y22" s="53"/>
      <c r="AA22" s="107"/>
      <c r="AB22" s="67"/>
      <c r="AC22" s="67"/>
      <c r="AD22" s="67"/>
      <c r="AE22" s="67"/>
      <c r="AF22" s="67"/>
      <c r="AG22" s="67"/>
      <c r="AI22" s="82">
        <f t="shared" si="33"/>
        <v>8851</v>
      </c>
      <c r="AJ22" s="18">
        <f t="shared" si="33"/>
        <v>16505</v>
      </c>
      <c r="AK22" s="18">
        <f t="shared" si="33"/>
        <v>27768</v>
      </c>
      <c r="AL22" s="18">
        <f t="shared" si="33"/>
        <v>7382</v>
      </c>
      <c r="AM22" s="18">
        <f t="shared" si="33"/>
        <v>39488</v>
      </c>
      <c r="AN22" s="18">
        <f t="shared" si="37"/>
        <v>99994</v>
      </c>
      <c r="AP22" s="97">
        <f t="shared" si="34"/>
        <v>49797905</v>
      </c>
      <c r="AQ22" s="59">
        <f t="shared" si="34"/>
        <v>50806730</v>
      </c>
      <c r="AR22" s="59">
        <f t="shared" si="34"/>
        <v>168574296</v>
      </c>
      <c r="AS22" s="59">
        <f t="shared" si="34"/>
        <v>17133409</v>
      </c>
      <c r="AT22" s="59">
        <f t="shared" si="34"/>
        <v>275641384</v>
      </c>
      <c r="AU22" s="59">
        <f t="shared" si="38"/>
        <v>561953724</v>
      </c>
      <c r="AW22" s="126">
        <f>SUMIFS(ventas_unidades,ventas_vendedor,$A22,ventas_año,AW$16)</f>
        <v>25153</v>
      </c>
      <c r="AX22" s="78">
        <f>SUMIFS(ventas_unidades,ventas_vendedor,$A22,ventas_año,AX$16)</f>
        <v>33627</v>
      </c>
      <c r="AY22" s="78">
        <f>SUMIFS(ventas_unidades,ventas_vendedor,$A22,ventas_año,AY$16)</f>
        <v>36420</v>
      </c>
      <c r="AZ22" s="78">
        <f>SUMIFS(ventas_unidades,ventas_vendedor,$A22,ventas_año,AZ$16)</f>
        <v>2867</v>
      </c>
      <c r="BA22" s="78">
        <f>SUMIFS(ventas_unidades,ventas_vendedor,$A22,ventas_año,BA$16)</f>
        <v>1927</v>
      </c>
      <c r="BB22" s="78">
        <f t="shared" ref="BB22" si="41">SUM(AW22:BA22)</f>
        <v>99994</v>
      </c>
      <c r="BC22" s="127"/>
      <c r="BD22" s="128">
        <f>SUMIFS(ventas_total,ventas_vendedor,$A22,ventas_año,BD$8)</f>
        <v>175466052</v>
      </c>
      <c r="BE22" s="129">
        <f>SUMIFS(ventas_total,ventas_vendedor,$A22,ventas_año,BE$8)</f>
        <v>177412674</v>
      </c>
      <c r="BF22" s="129">
        <f>SUMIFS(ventas_total,ventas_vendedor,$A22,ventas_año,BF$8)</f>
        <v>206477864</v>
      </c>
      <c r="BG22" s="129">
        <f>SUMIFS(ventas_total,ventas_vendedor,$A22,ventas_año,BG$8)</f>
        <v>2048742</v>
      </c>
      <c r="BH22" s="129">
        <f>SUMIFS(ventas_total,ventas_vendedor,$A22,ventas_año,BH$8)</f>
        <v>548392</v>
      </c>
      <c r="BI22" s="129">
        <f t="shared" ref="BI22" si="42">SUM(BD22:BH22)</f>
        <v>561953724</v>
      </c>
    </row>
    <row r="23" spans="1:61" ht="15.6" thickTop="1" thickBot="1" x14ac:dyDescent="0.35">
      <c r="A23" s="32" t="s">
        <v>34</v>
      </c>
      <c r="B23" s="116">
        <f>SUM(B17:B22)</f>
        <v>858227</v>
      </c>
      <c r="C23" s="115">
        <f>SUBTOTAL(109,estadisticas!$C$17:$C$22)</f>
        <v>3230017545</v>
      </c>
      <c r="E23" s="94">
        <f>SUM(E17:E22)</f>
        <v>110903</v>
      </c>
      <c r="F23" s="50">
        <f t="shared" ref="F23:J23" si="43">SUM(F17:F22)</f>
        <v>304519</v>
      </c>
      <c r="G23" s="50">
        <f t="shared" si="43"/>
        <v>118380</v>
      </c>
      <c r="H23" s="50">
        <f t="shared" si="43"/>
        <v>115644</v>
      </c>
      <c r="I23" s="50">
        <f t="shared" si="43"/>
        <v>208781</v>
      </c>
      <c r="J23" s="117">
        <f t="shared" si="43"/>
        <v>858227</v>
      </c>
      <c r="L23" s="108">
        <f>SUM(L17:L22)</f>
        <v>650543568</v>
      </c>
      <c r="M23" s="68">
        <f t="shared" ref="M23:Q23" si="44">SUM(M17:M22)</f>
        <v>578124392</v>
      </c>
      <c r="N23" s="68">
        <f t="shared" si="44"/>
        <v>690157736</v>
      </c>
      <c r="O23" s="68">
        <f t="shared" si="44"/>
        <v>654943915</v>
      </c>
      <c r="P23" s="68">
        <f t="shared" si="44"/>
        <v>656247934</v>
      </c>
      <c r="Q23" s="114">
        <f t="shared" si="44"/>
        <v>3230017545</v>
      </c>
      <c r="S23" s="93"/>
      <c r="T23" s="53"/>
      <c r="U23" s="53"/>
      <c r="V23" s="53"/>
      <c r="W23" s="53"/>
      <c r="X23" s="53"/>
      <c r="Y23" s="53"/>
      <c r="AA23" s="107"/>
      <c r="AB23" s="67"/>
      <c r="AC23" s="67"/>
      <c r="AD23" s="67"/>
      <c r="AE23" s="67"/>
      <c r="AF23" s="67"/>
      <c r="AG23" s="67"/>
      <c r="AI23" s="94">
        <f>SUM(AI17:AI22)</f>
        <v>110109</v>
      </c>
      <c r="AJ23" s="50">
        <f t="shared" ref="AJ23:AN23" si="45">SUM(AJ17:AJ22)</f>
        <v>213260</v>
      </c>
      <c r="AK23" s="50">
        <f t="shared" si="45"/>
        <v>116030</v>
      </c>
      <c r="AL23" s="50">
        <f t="shared" si="45"/>
        <v>312792</v>
      </c>
      <c r="AM23" s="50">
        <f t="shared" si="45"/>
        <v>106036</v>
      </c>
      <c r="AN23" s="117">
        <f t="shared" si="45"/>
        <v>858227</v>
      </c>
      <c r="AP23" s="108">
        <f>SUM(AP17:AP22)</f>
        <v>646106962</v>
      </c>
      <c r="AQ23" s="68">
        <f t="shared" ref="AQ23" si="46">SUM(AQ17:AQ22)</f>
        <v>576804336</v>
      </c>
      <c r="AR23" s="68">
        <f t="shared" ref="AR23" si="47">SUM(AR17:AR22)</f>
        <v>687706530</v>
      </c>
      <c r="AS23" s="68">
        <f t="shared" ref="AS23" si="48">SUM(AS17:AS22)</f>
        <v>654677692</v>
      </c>
      <c r="AT23" s="68">
        <f t="shared" ref="AT23" si="49">SUM(AT17:AT22)</f>
        <v>664722025</v>
      </c>
      <c r="AU23" s="114">
        <f t="shared" ref="AU23" si="50">SUM(AU17:AU22)</f>
        <v>3230017545</v>
      </c>
      <c r="AW23" s="94">
        <f>SUM(AW18:AW21)</f>
        <v>123206</v>
      </c>
      <c r="AX23" s="50">
        <f>SUM(AX18:AX21)</f>
        <v>90698</v>
      </c>
      <c r="AY23" s="50">
        <f>SUM(AY18:AY21)</f>
        <v>104346</v>
      </c>
      <c r="AZ23" s="50">
        <f>SUM(AZ18:AZ21)</f>
        <v>116889</v>
      </c>
      <c r="BA23" s="50">
        <f>SUM(BA18:BA21)</f>
        <v>201429</v>
      </c>
      <c r="BB23" s="117">
        <f>SUM(BB17:BB21)</f>
        <v>758233</v>
      </c>
      <c r="BD23" s="108">
        <f>SUM(BD17:BD21)</f>
        <v>831778099</v>
      </c>
      <c r="BE23" s="68">
        <f>SUM(BE17:BE21)</f>
        <v>929433798</v>
      </c>
      <c r="BF23" s="68">
        <f>SUM(BF17:BF21)</f>
        <v>882832483</v>
      </c>
      <c r="BG23" s="68">
        <f>SUM(BG17:BG21)</f>
        <v>13033979</v>
      </c>
      <c r="BH23" s="68">
        <f>SUM(BH17:BH21)</f>
        <v>10985462</v>
      </c>
      <c r="BI23" s="114">
        <f>SUM(BI17:BI21)</f>
        <v>2668063821</v>
      </c>
    </row>
    <row r="24" spans="1:61" ht="15" thickBot="1" x14ac:dyDescent="0.35"/>
    <row r="25" spans="1:61" ht="15" thickBot="1" x14ac:dyDescent="0.35">
      <c r="A25" s="7" t="s">
        <v>43</v>
      </c>
      <c r="B25" s="7" t="s">
        <v>4</v>
      </c>
      <c r="C25" s="7" t="s">
        <v>27</v>
      </c>
      <c r="E25" s="86" t="s">
        <v>6</v>
      </c>
      <c r="F25" s="52" t="s">
        <v>33</v>
      </c>
      <c r="G25" s="52" t="s">
        <v>15</v>
      </c>
      <c r="H25" s="52" t="s">
        <v>18</v>
      </c>
      <c r="I25" s="52" t="s">
        <v>47</v>
      </c>
      <c r="J25" s="52" t="s">
        <v>34</v>
      </c>
      <c r="L25" s="100" t="s">
        <v>6</v>
      </c>
      <c r="M25" s="56" t="s">
        <v>33</v>
      </c>
      <c r="N25" s="56" t="s">
        <v>15</v>
      </c>
      <c r="O25" s="56" t="s">
        <v>18</v>
      </c>
      <c r="P25" s="56" t="s">
        <v>47</v>
      </c>
      <c r="Q25" s="56" t="s">
        <v>34</v>
      </c>
      <c r="S25" s="86" t="s">
        <v>28</v>
      </c>
      <c r="T25" s="52" t="s">
        <v>8</v>
      </c>
      <c r="U25" s="52" t="s">
        <v>11</v>
      </c>
      <c r="V25" s="52" t="s">
        <v>13</v>
      </c>
      <c r="W25" s="52" t="s">
        <v>29</v>
      </c>
      <c r="X25" s="52" t="s">
        <v>30</v>
      </c>
      <c r="Y25" s="52" t="s">
        <v>39</v>
      </c>
      <c r="AA25" s="100" t="s">
        <v>28</v>
      </c>
      <c r="AB25" s="56" t="s">
        <v>8</v>
      </c>
      <c r="AC25" s="56" t="s">
        <v>11</v>
      </c>
      <c r="AD25" s="56" t="s">
        <v>13</v>
      </c>
      <c r="AE25" s="56" t="s">
        <v>29</v>
      </c>
      <c r="AF25" s="56" t="s">
        <v>30</v>
      </c>
      <c r="AG25" s="56" t="s">
        <v>39</v>
      </c>
      <c r="AI25" s="93"/>
      <c r="AJ25" s="53"/>
      <c r="AK25" s="53"/>
      <c r="AL25" s="53"/>
      <c r="AM25" s="53"/>
      <c r="AN25" s="53"/>
      <c r="AP25" s="95"/>
      <c r="AQ25" s="49"/>
      <c r="AR25" s="49"/>
      <c r="AS25" s="49"/>
      <c r="AT25" s="49"/>
      <c r="AU25" s="49"/>
      <c r="AW25" s="125">
        <v>2008</v>
      </c>
      <c r="AX25" s="21">
        <v>2009</v>
      </c>
      <c r="AY25" s="21">
        <v>2010</v>
      </c>
      <c r="AZ25" s="21">
        <v>2011</v>
      </c>
      <c r="BA25" s="21">
        <v>2012</v>
      </c>
      <c r="BB25" s="21" t="s">
        <v>34</v>
      </c>
      <c r="BC25" s="2"/>
      <c r="BD25" s="125">
        <v>2008</v>
      </c>
      <c r="BE25" s="21">
        <v>2009</v>
      </c>
      <c r="BF25" s="21">
        <v>2010</v>
      </c>
      <c r="BG25" s="21">
        <v>2011</v>
      </c>
      <c r="BH25" s="21">
        <v>2012</v>
      </c>
      <c r="BI25" s="7" t="s">
        <v>34</v>
      </c>
    </row>
    <row r="26" spans="1:61" x14ac:dyDescent="0.3">
      <c r="A26" s="10" t="s">
        <v>31</v>
      </c>
      <c r="B26" s="29">
        <f>SUMIF(ventas_region,$A26,ventas_unidades)</f>
        <v>110109</v>
      </c>
      <c r="C26" s="33">
        <f>SUMIF(ventas_region,$A26,ventas_total)</f>
        <v>646106962</v>
      </c>
      <c r="E26" s="81">
        <f t="shared" ref="E26:I30" si="51">SUMIFS(ventas_unidades,ventas_region,$A26,ventas_producto,E$25)</f>
        <v>101037</v>
      </c>
      <c r="F26" s="17">
        <f t="shared" si="51"/>
        <v>0</v>
      </c>
      <c r="G26" s="17">
        <f t="shared" si="51"/>
        <v>8943</v>
      </c>
      <c r="H26" s="17">
        <f t="shared" si="51"/>
        <v>129</v>
      </c>
      <c r="I26" s="17">
        <f t="shared" si="51"/>
        <v>0</v>
      </c>
      <c r="J26" s="17">
        <f>SUM(E26:I30)</f>
        <v>858227</v>
      </c>
      <c r="L26" s="96">
        <f t="shared" ref="L26:P30" si="52">SUMIFS(ventas_total,ventas_region,$A26,ventas_producto,L$25)</f>
        <v>640574818</v>
      </c>
      <c r="M26" s="58">
        <f t="shared" si="52"/>
        <v>0</v>
      </c>
      <c r="N26" s="58">
        <f t="shared" si="52"/>
        <v>4328234</v>
      </c>
      <c r="O26" s="58">
        <f t="shared" si="52"/>
        <v>1203910</v>
      </c>
      <c r="P26" s="58">
        <f t="shared" si="52"/>
        <v>0</v>
      </c>
      <c r="Q26" s="58">
        <f>SUM(L26:P26)</f>
        <v>646106962</v>
      </c>
      <c r="S26" s="81">
        <f t="shared" ref="S26:X30" si="53">SUMIFS(ventas_unidades,ventas_region,$A26,ventas_vendedor,S$25)</f>
        <v>23075</v>
      </c>
      <c r="T26" s="29">
        <f t="shared" si="53"/>
        <v>27346</v>
      </c>
      <c r="U26" s="29">
        <f t="shared" si="53"/>
        <v>9125</v>
      </c>
      <c r="V26" s="17">
        <f t="shared" si="53"/>
        <v>30665</v>
      </c>
      <c r="W26" s="29">
        <f t="shared" si="53"/>
        <v>11047</v>
      </c>
      <c r="X26" s="29">
        <f t="shared" si="53"/>
        <v>8851</v>
      </c>
      <c r="Y26" s="17">
        <f>SUM(S26:X26)</f>
        <v>110109</v>
      </c>
      <c r="AA26" s="96">
        <f t="shared" ref="AA26:AF30" si="54">SUMIFS(ventas_total,ventas_region,$A26,ventas_vendedor,AA$25)</f>
        <v>109144041</v>
      </c>
      <c r="AB26" s="63">
        <f t="shared" si="54"/>
        <v>193222871</v>
      </c>
      <c r="AC26" s="63">
        <f t="shared" si="54"/>
        <v>59797810</v>
      </c>
      <c r="AD26" s="58">
        <f t="shared" si="54"/>
        <v>139608342</v>
      </c>
      <c r="AE26" s="63">
        <f t="shared" si="54"/>
        <v>94535993</v>
      </c>
      <c r="AF26" s="63">
        <f t="shared" si="54"/>
        <v>49797905</v>
      </c>
      <c r="AG26" s="58">
        <f>SUM(AA26:AF26)</f>
        <v>646106962</v>
      </c>
      <c r="AI26" s="93"/>
      <c r="AJ26" s="53"/>
      <c r="AK26" s="53"/>
      <c r="AL26" s="53"/>
      <c r="AM26" s="53"/>
      <c r="AN26" s="53"/>
      <c r="AP26" s="95"/>
      <c r="AQ26" s="49"/>
      <c r="AR26" s="49"/>
      <c r="AS26" s="49"/>
      <c r="AT26" s="49"/>
      <c r="AU26" s="49"/>
      <c r="AW26" s="81">
        <f>SUMIFS(ventas_unidades,ventas_region,$A26,ventas_año,AW$8)</f>
        <v>33032</v>
      </c>
      <c r="AX26" s="17">
        <f>SUMIFS(ventas_unidades,ventas_region,$A26,ventas_año,AX$8)</f>
        <v>32671</v>
      </c>
      <c r="AY26" s="17">
        <f>SUMIFS(ventas_unidades,ventas_region,$A26,ventas_año,AY$8)</f>
        <v>35334</v>
      </c>
      <c r="AZ26" s="17">
        <f>SUMIFS(ventas_unidades,ventas_region,$A26,ventas_año,AZ$8)</f>
        <v>9072</v>
      </c>
      <c r="BA26" s="17">
        <f>SUMIFS(ventas_unidades,ventas_region,$A26,ventas_año,BA$8)</f>
        <v>0</v>
      </c>
      <c r="BB26" s="17">
        <f>SUM(AW26:BA26)</f>
        <v>110109</v>
      </c>
      <c r="BD26" s="96">
        <f>SUMIFS(ventas_total,ventas_region,$A26,ventas_año,BD$8)</f>
        <v>218669111</v>
      </c>
      <c r="BE26" s="58">
        <f>SUMIFS(ventas_total,ventas_region,$A26,ventas_año,BE$8)</f>
        <v>203341463</v>
      </c>
      <c r="BF26" s="58">
        <f>SUMIFS(ventas_total,ventas_region,$A26,ventas_año,BF$8)</f>
        <v>218564244</v>
      </c>
      <c r="BG26" s="58">
        <f>SUMIFS(ventas_total,ventas_region,$A26,ventas_año,BG$8)</f>
        <v>5532144</v>
      </c>
      <c r="BH26" s="58">
        <f>SUMIFS(ventas_total,ventas_region,$A26,ventas_año,BH$8)</f>
        <v>0</v>
      </c>
      <c r="BI26" s="58">
        <f>SUM(BD26:BH26)</f>
        <v>646106962</v>
      </c>
    </row>
    <row r="27" spans="1:61" x14ac:dyDescent="0.3">
      <c r="A27" s="26" t="s">
        <v>9</v>
      </c>
      <c r="B27" s="30">
        <f>SUMIF(ventas_region,$A27,ventas_unidades)</f>
        <v>213260</v>
      </c>
      <c r="C27" s="34">
        <f>SUMIF(ventas_region,$A27,ventas_total)</f>
        <v>576804336</v>
      </c>
      <c r="E27" s="82">
        <f t="shared" si="51"/>
        <v>0</v>
      </c>
      <c r="F27" s="18">
        <f t="shared" si="51"/>
        <v>105314</v>
      </c>
      <c r="G27" s="18">
        <f t="shared" si="51"/>
        <v>0</v>
      </c>
      <c r="H27" s="18">
        <f t="shared" si="51"/>
        <v>0</v>
      </c>
      <c r="I27" s="18">
        <f t="shared" si="51"/>
        <v>107946</v>
      </c>
      <c r="J27" s="18">
        <f t="shared" ref="J27:J30" si="55">SUM(E27:I31)</f>
        <v>1606345</v>
      </c>
      <c r="L27" s="97">
        <f t="shared" si="52"/>
        <v>0</v>
      </c>
      <c r="M27" s="59">
        <f t="shared" si="52"/>
        <v>576702901</v>
      </c>
      <c r="N27" s="59">
        <f t="shared" si="52"/>
        <v>0</v>
      </c>
      <c r="O27" s="59">
        <f t="shared" si="52"/>
        <v>0</v>
      </c>
      <c r="P27" s="59">
        <f t="shared" si="52"/>
        <v>101435</v>
      </c>
      <c r="Q27" s="59">
        <f t="shared" ref="Q27:Q30" si="56">SUM(L27:P27)</f>
        <v>576804336</v>
      </c>
      <c r="S27" s="90">
        <f t="shared" si="53"/>
        <v>7195</v>
      </c>
      <c r="T27" s="30">
        <f t="shared" si="53"/>
        <v>51553</v>
      </c>
      <c r="U27" s="30">
        <f t="shared" si="53"/>
        <v>9023</v>
      </c>
      <c r="V27" s="30">
        <f t="shared" si="53"/>
        <v>103585</v>
      </c>
      <c r="W27" s="30">
        <f t="shared" si="53"/>
        <v>25399</v>
      </c>
      <c r="X27" s="30">
        <f t="shared" si="53"/>
        <v>16505</v>
      </c>
      <c r="Y27" s="30">
        <f t="shared" ref="Y27:Y30" si="57">SUM(S27:X27)</f>
        <v>213260</v>
      </c>
      <c r="AA27" s="104">
        <f t="shared" si="54"/>
        <v>52631529</v>
      </c>
      <c r="AB27" s="64">
        <f t="shared" si="54"/>
        <v>271532147</v>
      </c>
      <c r="AC27" s="64">
        <f t="shared" si="54"/>
        <v>63246530</v>
      </c>
      <c r="AD27" s="64">
        <f t="shared" si="54"/>
        <v>44964557</v>
      </c>
      <c r="AE27" s="64">
        <f t="shared" si="54"/>
        <v>93622843</v>
      </c>
      <c r="AF27" s="64">
        <f t="shared" si="54"/>
        <v>50806730</v>
      </c>
      <c r="AG27" s="64">
        <f t="shared" ref="AG27:AG30" si="58">SUM(AA27:AF27)</f>
        <v>576804336</v>
      </c>
      <c r="AI27" s="93"/>
      <c r="AJ27" s="53"/>
      <c r="AK27" s="53"/>
      <c r="AL27" s="53"/>
      <c r="AM27" s="53"/>
      <c r="AN27" s="53"/>
      <c r="AP27" s="95"/>
      <c r="AQ27" s="49"/>
      <c r="AR27" s="49"/>
      <c r="AS27" s="49"/>
      <c r="AT27" s="49"/>
      <c r="AU27" s="49"/>
      <c r="AW27" s="82">
        <f>SUMIFS(ventas_unidades,ventas_region,$A27,ventas_año,AW$8)</f>
        <v>32696</v>
      </c>
      <c r="AX27" s="46">
        <f>SUMIFS(ventas_unidades,ventas_region,$A27,ventas_año,AX$8)</f>
        <v>31651</v>
      </c>
      <c r="AY27" s="46">
        <f>SUMIFS(ventas_unidades,ventas_region,$A27,ventas_año,AY$8)</f>
        <v>40967</v>
      </c>
      <c r="AZ27" s="46">
        <f>SUMIFS(ventas_unidades,ventas_region,$A27,ventas_año,AZ$8)</f>
        <v>107946</v>
      </c>
      <c r="BA27" s="46">
        <f>SUMIFS(ventas_unidades,ventas_region,$A27,ventas_año,BA$8)</f>
        <v>0</v>
      </c>
      <c r="BB27" s="46">
        <f t="shared" ref="BB27:BB30" si="59">SUM(AW27:BA27)</f>
        <v>213260</v>
      </c>
      <c r="BD27" s="97">
        <f>SUMIFS(ventas_total,ventas_region,$A27,ventas_año,BD$8)</f>
        <v>160364763</v>
      </c>
      <c r="BE27" s="69">
        <f>SUMIFS(ventas_total,ventas_region,$A27,ventas_año,BE$8)</f>
        <v>201880917</v>
      </c>
      <c r="BF27" s="69">
        <f>SUMIFS(ventas_total,ventas_region,$A27,ventas_año,BF$8)</f>
        <v>214457221</v>
      </c>
      <c r="BG27" s="69">
        <f>SUMIFS(ventas_total,ventas_region,$A27,ventas_año,BG$8)</f>
        <v>101435</v>
      </c>
      <c r="BH27" s="69">
        <f>SUMIFS(ventas_total,ventas_region,$A27,ventas_año,BH$8)</f>
        <v>0</v>
      </c>
      <c r="BI27" s="69">
        <f t="shared" ref="BI27:BI30" si="60">SUM(BD27:BH27)</f>
        <v>576804336</v>
      </c>
    </row>
    <row r="28" spans="1:61" x14ac:dyDescent="0.3">
      <c r="A28" s="27" t="s">
        <v>16</v>
      </c>
      <c r="B28" s="31">
        <f>SUMIF(ventas_region,$A28,ventas_unidades)</f>
        <v>116030</v>
      </c>
      <c r="C28" s="35">
        <f>SUMIF(ventas_region,$A28,ventas_total)</f>
        <v>687706530</v>
      </c>
      <c r="E28" s="83">
        <f t="shared" si="51"/>
        <v>2738</v>
      </c>
      <c r="F28" s="19">
        <f t="shared" si="51"/>
        <v>1928</v>
      </c>
      <c r="G28" s="19">
        <f t="shared" si="51"/>
        <v>109437</v>
      </c>
      <c r="H28" s="19">
        <f t="shared" si="51"/>
        <v>1927</v>
      </c>
      <c r="I28" s="19">
        <f t="shared" si="51"/>
        <v>0</v>
      </c>
      <c r="J28" s="19">
        <f t="shared" si="55"/>
        <v>1393085</v>
      </c>
      <c r="L28" s="98">
        <f t="shared" si="52"/>
        <v>844832</v>
      </c>
      <c r="M28" s="60">
        <f t="shared" si="52"/>
        <v>108214</v>
      </c>
      <c r="N28" s="60">
        <f t="shared" si="52"/>
        <v>685829502</v>
      </c>
      <c r="O28" s="60">
        <f t="shared" si="52"/>
        <v>923982</v>
      </c>
      <c r="P28" s="60">
        <f t="shared" si="52"/>
        <v>0</v>
      </c>
      <c r="Q28" s="60">
        <f t="shared" si="56"/>
        <v>687706530</v>
      </c>
      <c r="S28" s="91">
        <f t="shared" si="53"/>
        <v>39170</v>
      </c>
      <c r="T28" s="31">
        <f t="shared" si="53"/>
        <v>19565</v>
      </c>
      <c r="U28" s="31">
        <f t="shared" si="53"/>
        <v>6969</v>
      </c>
      <c r="V28" s="31">
        <f t="shared" si="53"/>
        <v>9925</v>
      </c>
      <c r="W28" s="31">
        <f t="shared" si="53"/>
        <v>12633</v>
      </c>
      <c r="X28" s="31">
        <f t="shared" si="53"/>
        <v>27768</v>
      </c>
      <c r="Y28" s="31">
        <f t="shared" si="57"/>
        <v>116030</v>
      </c>
      <c r="AA28" s="105">
        <f t="shared" si="54"/>
        <v>240927099</v>
      </c>
      <c r="AB28" s="65">
        <f t="shared" si="54"/>
        <v>131950052</v>
      </c>
      <c r="AC28" s="65">
        <f t="shared" si="54"/>
        <v>40433106</v>
      </c>
      <c r="AD28" s="65">
        <f t="shared" si="54"/>
        <v>27153333</v>
      </c>
      <c r="AE28" s="65">
        <f t="shared" si="54"/>
        <v>78668644</v>
      </c>
      <c r="AF28" s="65">
        <f t="shared" si="54"/>
        <v>168574296</v>
      </c>
      <c r="AG28" s="65">
        <f t="shared" si="58"/>
        <v>687706530</v>
      </c>
      <c r="AI28" s="93"/>
      <c r="AJ28" s="53"/>
      <c r="AK28" s="53"/>
      <c r="AL28" s="53"/>
      <c r="AM28" s="53"/>
      <c r="AN28" s="53"/>
      <c r="AP28" s="95"/>
      <c r="AQ28" s="49"/>
      <c r="AR28" s="49"/>
      <c r="AS28" s="49"/>
      <c r="AT28" s="49"/>
      <c r="AU28" s="49"/>
      <c r="AW28" s="83">
        <f>SUMIFS(ventas_unidades,ventas_region,$A28,ventas_año,AW$8)</f>
        <v>39124</v>
      </c>
      <c r="AX28" s="47">
        <f>SUMIFS(ventas_unidades,ventas_region,$A28,ventas_año,AX$8)</f>
        <v>34000</v>
      </c>
      <c r="AY28" s="47">
        <f>SUMIFS(ventas_unidades,ventas_region,$A28,ventas_año,AY$8)</f>
        <v>31330</v>
      </c>
      <c r="AZ28" s="47">
        <f>SUMIFS(ventas_unidades,ventas_region,$A28,ventas_año,AZ$8)</f>
        <v>7721</v>
      </c>
      <c r="BA28" s="47">
        <f>SUMIFS(ventas_unidades,ventas_region,$A28,ventas_año,BA$8)</f>
        <v>3855</v>
      </c>
      <c r="BB28" s="47">
        <f t="shared" si="59"/>
        <v>116030</v>
      </c>
      <c r="BD28" s="98">
        <f>SUMIFS(ventas_total,ventas_region,$A28,ventas_año,BD$8)</f>
        <v>220801841</v>
      </c>
      <c r="BE28" s="70">
        <f>SUMIFS(ventas_total,ventas_region,$A28,ventas_año,BE$8)</f>
        <v>239992813</v>
      </c>
      <c r="BF28" s="70">
        <f>SUMIFS(ventas_total,ventas_region,$A28,ventas_año,BF$8)</f>
        <v>216914467</v>
      </c>
      <c r="BG28" s="70">
        <f>SUMIFS(ventas_total,ventas_region,$A28,ventas_año,BG$8)</f>
        <v>8965213</v>
      </c>
      <c r="BH28" s="70">
        <f>SUMIFS(ventas_total,ventas_region,$A28,ventas_año,BH$8)</f>
        <v>1032196</v>
      </c>
      <c r="BI28" s="70">
        <f t="shared" si="60"/>
        <v>687706530</v>
      </c>
    </row>
    <row r="29" spans="1:61" x14ac:dyDescent="0.3">
      <c r="A29" s="26" t="s">
        <v>19</v>
      </c>
      <c r="B29" s="30">
        <f>SUMIF(ventas_region,$A29,ventas_unidades)</f>
        <v>312792</v>
      </c>
      <c r="C29" s="34">
        <f>SUMIF(ventas_region,$A29,ventas_total)</f>
        <v>654677692</v>
      </c>
      <c r="E29" s="82">
        <f t="shared" si="51"/>
        <v>0</v>
      </c>
      <c r="F29" s="18">
        <f t="shared" si="51"/>
        <v>197277</v>
      </c>
      <c r="G29" s="18">
        <f t="shared" si="51"/>
        <v>0</v>
      </c>
      <c r="H29" s="18">
        <f t="shared" si="51"/>
        <v>113588</v>
      </c>
      <c r="I29" s="18">
        <f t="shared" si="51"/>
        <v>1927</v>
      </c>
      <c r="J29" s="18">
        <f t="shared" si="55"/>
        <v>1277055</v>
      </c>
      <c r="L29" s="97">
        <f t="shared" si="52"/>
        <v>0</v>
      </c>
      <c r="M29" s="59">
        <f t="shared" si="52"/>
        <v>1313277</v>
      </c>
      <c r="N29" s="59">
        <f t="shared" si="52"/>
        <v>0</v>
      </c>
      <c r="O29" s="59">
        <f t="shared" si="52"/>
        <v>652816023</v>
      </c>
      <c r="P29" s="59">
        <f t="shared" si="52"/>
        <v>548392</v>
      </c>
      <c r="Q29" s="59">
        <f t="shared" si="56"/>
        <v>654677692</v>
      </c>
      <c r="S29" s="90">
        <f t="shared" si="53"/>
        <v>39255</v>
      </c>
      <c r="T29" s="30">
        <f t="shared" si="53"/>
        <v>12991</v>
      </c>
      <c r="U29" s="30">
        <f t="shared" si="53"/>
        <v>2096</v>
      </c>
      <c r="V29" s="30">
        <f t="shared" si="53"/>
        <v>197831</v>
      </c>
      <c r="W29" s="30">
        <f t="shared" si="53"/>
        <v>53237</v>
      </c>
      <c r="X29" s="30">
        <f t="shared" si="53"/>
        <v>7382</v>
      </c>
      <c r="Y29" s="30">
        <f t="shared" si="57"/>
        <v>312792</v>
      </c>
      <c r="AA29" s="104">
        <f t="shared" si="54"/>
        <v>170461858</v>
      </c>
      <c r="AB29" s="64">
        <f t="shared" si="54"/>
        <v>75839132</v>
      </c>
      <c r="AC29" s="64">
        <f t="shared" si="54"/>
        <v>31378227</v>
      </c>
      <c r="AD29" s="64">
        <f t="shared" si="54"/>
        <v>23830600</v>
      </c>
      <c r="AE29" s="64">
        <f t="shared" si="54"/>
        <v>336034466</v>
      </c>
      <c r="AF29" s="64">
        <f t="shared" si="54"/>
        <v>17133409</v>
      </c>
      <c r="AG29" s="64">
        <f t="shared" si="58"/>
        <v>654677692</v>
      </c>
      <c r="AI29" s="93"/>
      <c r="AJ29" s="53"/>
      <c r="AK29" s="53"/>
      <c r="AL29" s="53"/>
      <c r="AM29" s="53"/>
      <c r="AN29" s="53"/>
      <c r="AP29" s="95"/>
      <c r="AQ29" s="49"/>
      <c r="AR29" s="49"/>
      <c r="AS29" s="49"/>
      <c r="AT29" s="49"/>
      <c r="AU29" s="49"/>
      <c r="AW29" s="82">
        <f>SUMIFS(ventas_unidades,ventas_region,$A29,ventas_año,AW$8)</f>
        <v>40573</v>
      </c>
      <c r="AX29" s="46">
        <f>SUMIFS(ventas_unidades,ventas_region,$A29,ventas_año,AX$8)</f>
        <v>39442</v>
      </c>
      <c r="AY29" s="46">
        <f>SUMIFS(ventas_unidades,ventas_region,$A29,ventas_año,AY$8)</f>
        <v>33573</v>
      </c>
      <c r="AZ29" s="46">
        <f>SUMIFS(ventas_unidades,ventas_region,$A29,ventas_año,AZ$8)</f>
        <v>4903</v>
      </c>
      <c r="BA29" s="46">
        <f>SUMIFS(ventas_unidades,ventas_region,$A29,ventas_año,BA$8)</f>
        <v>194301</v>
      </c>
      <c r="BB29" s="46">
        <f t="shared" si="59"/>
        <v>312792</v>
      </c>
      <c r="BD29" s="97">
        <f>SUMIFS(ventas_total,ventas_region,$A29,ventas_año,BD$8)</f>
        <v>190929354</v>
      </c>
      <c r="BE29" s="69">
        <f>SUMIFS(ventas_total,ventas_region,$A29,ventas_año,BE$8)</f>
        <v>221383553</v>
      </c>
      <c r="BF29" s="69">
        <f>SUMIFS(ventas_total,ventas_region,$A29,ventas_año,BF$8)</f>
        <v>240503116</v>
      </c>
      <c r="BG29" s="69">
        <f>SUMIFS(ventas_total,ventas_region,$A29,ventas_año,BG$8)</f>
        <v>483929</v>
      </c>
      <c r="BH29" s="69">
        <f>SUMIFS(ventas_total,ventas_region,$A29,ventas_año,BH$8)</f>
        <v>1377740</v>
      </c>
      <c r="BI29" s="69">
        <f t="shared" si="60"/>
        <v>654677692</v>
      </c>
    </row>
    <row r="30" spans="1:61" ht="15" thickBot="1" x14ac:dyDescent="0.35">
      <c r="A30" s="27" t="s">
        <v>21</v>
      </c>
      <c r="B30" s="31">
        <f>SUMIF(ventas_region,$A30,ventas_unidades)</f>
        <v>106036</v>
      </c>
      <c r="C30" s="35">
        <f>SUMIF(ventas_region,$A30,ventas_total)</f>
        <v>664722025</v>
      </c>
      <c r="E30" s="83">
        <f t="shared" si="51"/>
        <v>7128</v>
      </c>
      <c r="F30" s="19">
        <f t="shared" si="51"/>
        <v>0</v>
      </c>
      <c r="G30" s="19">
        <f t="shared" si="51"/>
        <v>0</v>
      </c>
      <c r="H30" s="19">
        <f t="shared" si="51"/>
        <v>0</v>
      </c>
      <c r="I30" s="19">
        <f t="shared" si="51"/>
        <v>98908</v>
      </c>
      <c r="J30" s="19">
        <f t="shared" si="55"/>
        <v>1146245</v>
      </c>
      <c r="L30" s="98">
        <f t="shared" si="52"/>
        <v>9123918</v>
      </c>
      <c r="M30" s="60">
        <f t="shared" si="52"/>
        <v>0</v>
      </c>
      <c r="N30" s="60">
        <f t="shared" si="52"/>
        <v>0</v>
      </c>
      <c r="O30" s="60">
        <f t="shared" si="52"/>
        <v>0</v>
      </c>
      <c r="P30" s="60">
        <f t="shared" si="52"/>
        <v>655598107</v>
      </c>
      <c r="Q30" s="60">
        <f t="shared" si="56"/>
        <v>664722025</v>
      </c>
      <c r="S30" s="91">
        <f t="shared" si="53"/>
        <v>12970</v>
      </c>
      <c r="T30" s="31">
        <f t="shared" si="53"/>
        <v>14165</v>
      </c>
      <c r="U30" s="31">
        <f t="shared" si="53"/>
        <v>5143</v>
      </c>
      <c r="V30" s="31">
        <f t="shared" si="53"/>
        <v>14291</v>
      </c>
      <c r="W30" s="31">
        <f t="shared" si="53"/>
        <v>19979</v>
      </c>
      <c r="X30" s="31">
        <f t="shared" si="53"/>
        <v>39488</v>
      </c>
      <c r="Y30" s="31">
        <f t="shared" si="57"/>
        <v>106036</v>
      </c>
      <c r="AA30" s="105">
        <f t="shared" si="54"/>
        <v>71950539</v>
      </c>
      <c r="AB30" s="65">
        <f t="shared" si="54"/>
        <v>88920515</v>
      </c>
      <c r="AC30" s="65">
        <f t="shared" si="54"/>
        <v>31867112</v>
      </c>
      <c r="AD30" s="65">
        <f t="shared" si="54"/>
        <v>76700859</v>
      </c>
      <c r="AE30" s="65">
        <f t="shared" si="54"/>
        <v>119641616</v>
      </c>
      <c r="AF30" s="65">
        <f t="shared" si="54"/>
        <v>275641384</v>
      </c>
      <c r="AG30" s="65">
        <f t="shared" si="58"/>
        <v>664722025</v>
      </c>
      <c r="AI30" s="93"/>
      <c r="AJ30" s="53"/>
      <c r="AK30" s="53"/>
      <c r="AL30" s="53"/>
      <c r="AM30" s="53"/>
      <c r="AN30" s="53"/>
      <c r="AP30" s="95"/>
      <c r="AQ30" s="49"/>
      <c r="AR30" s="49"/>
      <c r="AS30" s="49"/>
      <c r="AT30" s="49"/>
      <c r="AU30" s="49"/>
      <c r="AW30" s="83">
        <f>SUMIFS(ventas_unidades,ventas_region,$A30,ventas_año,AW$8)</f>
        <v>36557</v>
      </c>
      <c r="AX30" s="47">
        <f>SUMIFS(ventas_unidades,ventas_region,$A30,ventas_año,AX$8)</f>
        <v>28900</v>
      </c>
      <c r="AY30" s="47">
        <f>SUMIFS(ventas_unidades,ventas_region,$A30,ventas_año,AY$8)</f>
        <v>33451</v>
      </c>
      <c r="AZ30" s="47">
        <f>SUMIFS(ventas_unidades,ventas_region,$A30,ventas_año,AZ$8)</f>
        <v>0</v>
      </c>
      <c r="BA30" s="47">
        <f>SUMIFS(ventas_unidades,ventas_region,$A30,ventas_año,BA$8)</f>
        <v>7128</v>
      </c>
      <c r="BB30" s="47">
        <f t="shared" si="59"/>
        <v>106036</v>
      </c>
      <c r="BD30" s="98">
        <f>SUMIFS(ventas_total,ventas_region,$A30,ventas_año,BD$8)</f>
        <v>216479082</v>
      </c>
      <c r="BE30" s="70">
        <f>SUMIFS(ventas_total,ventas_region,$A30,ventas_año,BE$8)</f>
        <v>240247726</v>
      </c>
      <c r="BF30" s="70">
        <f>SUMIFS(ventas_total,ventas_region,$A30,ventas_año,BF$8)</f>
        <v>198871299</v>
      </c>
      <c r="BG30" s="70">
        <f>SUMIFS(ventas_total,ventas_region,$A30,ventas_año,BG$8)</f>
        <v>0</v>
      </c>
      <c r="BH30" s="70">
        <f>SUMIFS(ventas_total,ventas_region,$A30,ventas_año,BH$8)</f>
        <v>9123918</v>
      </c>
      <c r="BI30" s="70">
        <f t="shared" si="60"/>
        <v>664722025</v>
      </c>
    </row>
    <row r="31" spans="1:61" ht="15.6" thickTop="1" thickBot="1" x14ac:dyDescent="0.35">
      <c r="A31" s="32" t="s">
        <v>34</v>
      </c>
      <c r="B31" s="116">
        <f>SUM(B26:B30)</f>
        <v>858227</v>
      </c>
      <c r="C31" s="115">
        <f>SUBTOTAL(109,estadisticas!$C$26:$C$30)</f>
        <v>3230017545</v>
      </c>
      <c r="E31" s="94">
        <f>SUM(E26:E30)</f>
        <v>110903</v>
      </c>
      <c r="F31" s="50">
        <f t="shared" ref="F31:J31" si="61">SUM(F26:F30)</f>
        <v>304519</v>
      </c>
      <c r="G31" s="50">
        <f t="shared" si="61"/>
        <v>118380</v>
      </c>
      <c r="H31" s="50">
        <f t="shared" si="61"/>
        <v>115644</v>
      </c>
      <c r="I31" s="50">
        <f t="shared" si="61"/>
        <v>208781</v>
      </c>
      <c r="J31" s="117">
        <f t="shared" si="61"/>
        <v>6280957</v>
      </c>
      <c r="L31" s="108">
        <f>SUM(L26:L30)</f>
        <v>650543568</v>
      </c>
      <c r="M31" s="68">
        <f t="shared" ref="M31" si="62">SUM(M26:M30)</f>
        <v>578124392</v>
      </c>
      <c r="N31" s="68">
        <f t="shared" ref="N31" si="63">SUM(N26:N30)</f>
        <v>690157736</v>
      </c>
      <c r="O31" s="68">
        <f t="shared" ref="O31" si="64">SUM(O26:O30)</f>
        <v>654943915</v>
      </c>
      <c r="P31" s="68">
        <f t="shared" ref="P31" si="65">SUM(P26:P30)</f>
        <v>656247934</v>
      </c>
      <c r="Q31" s="114">
        <f t="shared" ref="Q31" si="66">SUM(Q26:Q30)</f>
        <v>3230017545</v>
      </c>
      <c r="S31" s="92">
        <f>SUM(S26:S30)</f>
        <v>121665</v>
      </c>
      <c r="T31" s="40">
        <f t="shared" ref="T31:Y31" si="67">SUM(T26:T30)</f>
        <v>125620</v>
      </c>
      <c r="U31" s="40">
        <f t="shared" si="67"/>
        <v>32356</v>
      </c>
      <c r="V31" s="40">
        <f t="shared" si="67"/>
        <v>356297</v>
      </c>
      <c r="W31" s="40">
        <f t="shared" si="67"/>
        <v>122295</v>
      </c>
      <c r="X31" s="40">
        <f t="shared" si="67"/>
        <v>99994</v>
      </c>
      <c r="Y31" s="40">
        <f t="shared" si="67"/>
        <v>858227</v>
      </c>
      <c r="AA31" s="106">
        <f>SUM(AA26:AA30)</f>
        <v>645115066</v>
      </c>
      <c r="AB31" s="66">
        <f t="shared" ref="AB31" si="68">SUM(AB26:AB30)</f>
        <v>761464717</v>
      </c>
      <c r="AC31" s="66">
        <f t="shared" ref="AC31" si="69">SUM(AC26:AC30)</f>
        <v>226722785</v>
      </c>
      <c r="AD31" s="66">
        <f t="shared" ref="AD31" si="70">SUM(AD26:AD30)</f>
        <v>312257691</v>
      </c>
      <c r="AE31" s="66">
        <f t="shared" ref="AE31" si="71">SUM(AE26:AE30)</f>
        <v>722503562</v>
      </c>
      <c r="AF31" s="66">
        <f t="shared" ref="AF31" si="72">SUM(AF26:AF30)</f>
        <v>561953724</v>
      </c>
      <c r="AG31" s="114">
        <f t="shared" ref="AG31" si="73">SUM(AG26:AG30)</f>
        <v>3230017545</v>
      </c>
      <c r="AI31" s="93"/>
      <c r="AJ31" s="53"/>
      <c r="AK31" s="53"/>
      <c r="AL31" s="53"/>
      <c r="AM31" s="53"/>
      <c r="AN31" s="53"/>
      <c r="AP31" s="95"/>
      <c r="AQ31" s="49"/>
      <c r="AR31" s="49"/>
      <c r="AS31" s="49"/>
      <c r="AT31" s="49"/>
      <c r="AU31" s="49"/>
      <c r="AW31" s="94">
        <f t="shared" ref="AW31:BA31" si="74">SUM(AW27:AW30)</f>
        <v>148950</v>
      </c>
      <c r="AX31" s="50">
        <f t="shared" si="74"/>
        <v>133993</v>
      </c>
      <c r="AY31" s="50">
        <f t="shared" si="74"/>
        <v>139321</v>
      </c>
      <c r="AZ31" s="50">
        <f t="shared" si="74"/>
        <v>120570</v>
      </c>
      <c r="BA31" s="50">
        <f t="shared" si="74"/>
        <v>205284</v>
      </c>
      <c r="BB31" s="117">
        <f>SUM(BB26:BB30)</f>
        <v>858227</v>
      </c>
      <c r="BD31" s="108">
        <f>SUM(BD26:BD30)</f>
        <v>1007244151</v>
      </c>
      <c r="BE31" s="68">
        <f t="shared" ref="BE31:BI31" si="75">SUM(BE26:BE30)</f>
        <v>1106846472</v>
      </c>
      <c r="BF31" s="68">
        <f t="shared" si="75"/>
        <v>1089310347</v>
      </c>
      <c r="BG31" s="68">
        <f t="shared" si="75"/>
        <v>15082721</v>
      </c>
      <c r="BH31" s="68">
        <f t="shared" si="75"/>
        <v>11533854</v>
      </c>
      <c r="BI31" s="114">
        <f t="shared" si="75"/>
        <v>3230017545</v>
      </c>
    </row>
    <row r="32" spans="1:61" ht="15" thickBot="1" x14ac:dyDescent="0.35"/>
    <row r="33" spans="1:61" ht="15" thickBot="1" x14ac:dyDescent="0.35">
      <c r="A33" s="7" t="s">
        <v>42</v>
      </c>
      <c r="B33" s="7" t="s">
        <v>40</v>
      </c>
      <c r="C33" s="7" t="s">
        <v>27</v>
      </c>
      <c r="E33" s="86" t="s">
        <v>6</v>
      </c>
      <c r="F33" s="52" t="s">
        <v>33</v>
      </c>
      <c r="G33" s="52" t="s">
        <v>15</v>
      </c>
      <c r="H33" s="52" t="s">
        <v>18</v>
      </c>
      <c r="I33" s="52" t="s">
        <v>47</v>
      </c>
      <c r="J33" s="52" t="s">
        <v>34</v>
      </c>
      <c r="L33" s="100" t="s">
        <v>6</v>
      </c>
      <c r="M33" s="56" t="s">
        <v>33</v>
      </c>
      <c r="N33" s="56" t="s">
        <v>15</v>
      </c>
      <c r="O33" s="56" t="s">
        <v>18</v>
      </c>
      <c r="P33" s="56" t="s">
        <v>47</v>
      </c>
      <c r="Q33" s="56" t="s">
        <v>34</v>
      </c>
      <c r="S33" s="86" t="s">
        <v>28</v>
      </c>
      <c r="T33" s="52" t="s">
        <v>8</v>
      </c>
      <c r="U33" s="52" t="s">
        <v>11</v>
      </c>
      <c r="V33" s="52" t="s">
        <v>13</v>
      </c>
      <c r="W33" s="52" t="s">
        <v>29</v>
      </c>
      <c r="X33" s="52" t="s">
        <v>30</v>
      </c>
      <c r="Y33" s="52" t="s">
        <v>39</v>
      </c>
      <c r="AA33" s="100" t="s">
        <v>28</v>
      </c>
      <c r="AB33" s="56" t="s">
        <v>8</v>
      </c>
      <c r="AC33" s="56" t="s">
        <v>11</v>
      </c>
      <c r="AD33" s="56" t="s">
        <v>13</v>
      </c>
      <c r="AE33" s="56" t="s">
        <v>29</v>
      </c>
      <c r="AF33" s="56" t="s">
        <v>30</v>
      </c>
      <c r="AG33" s="56" t="s">
        <v>39</v>
      </c>
      <c r="AI33" s="86" t="s">
        <v>31</v>
      </c>
      <c r="AJ33" s="52" t="s">
        <v>9</v>
      </c>
      <c r="AK33" s="52" t="s">
        <v>16</v>
      </c>
      <c r="AL33" s="52" t="s">
        <v>19</v>
      </c>
      <c r="AM33" s="52" t="s">
        <v>21</v>
      </c>
      <c r="AN33" s="52" t="s">
        <v>34</v>
      </c>
      <c r="AP33" s="109" t="s">
        <v>31</v>
      </c>
      <c r="AQ33" s="55" t="s">
        <v>9</v>
      </c>
      <c r="AR33" s="55" t="s">
        <v>16</v>
      </c>
      <c r="AS33" s="55" t="s">
        <v>19</v>
      </c>
      <c r="AT33" s="55" t="s">
        <v>21</v>
      </c>
      <c r="AU33" s="55" t="s">
        <v>34</v>
      </c>
      <c r="AW33" s="93"/>
      <c r="AX33" s="53"/>
      <c r="AY33" s="53"/>
      <c r="AZ33" s="53"/>
      <c r="BA33" s="120"/>
      <c r="BB33" s="120"/>
      <c r="BD33" s="93"/>
      <c r="BE33" s="53"/>
      <c r="BF33" s="53"/>
      <c r="BG33" s="53"/>
      <c r="BH33" s="120"/>
      <c r="BI33" s="120"/>
    </row>
    <row r="34" spans="1:61" x14ac:dyDescent="0.3">
      <c r="A34" s="28">
        <v>2008</v>
      </c>
      <c r="B34" s="29">
        <f>SUMIF(ventas_año,$A34,ventas_unidades)</f>
        <v>181982</v>
      </c>
      <c r="C34" s="37">
        <f>SUMIF(ventas_año,$A34,ventas_total)</f>
        <v>1007244151</v>
      </c>
      <c r="E34" s="81">
        <f t="shared" ref="E34:I38" si="76">SUMIFS(ventas_unidades,ventas_año,$A34,ventas_producto,E$25)</f>
        <v>33032</v>
      </c>
      <c r="F34" s="17">
        <f t="shared" si="76"/>
        <v>32696</v>
      </c>
      <c r="G34" s="17">
        <f t="shared" si="76"/>
        <v>39124</v>
      </c>
      <c r="H34" s="17">
        <f t="shared" si="76"/>
        <v>40573</v>
      </c>
      <c r="I34" s="17">
        <f t="shared" si="76"/>
        <v>36557</v>
      </c>
      <c r="J34" s="17">
        <f>SUM(E34:I38)</f>
        <v>858227</v>
      </c>
      <c r="L34" s="96">
        <f t="shared" ref="L34:P38" si="77">SUMIFS(ventas_total,ventas_año,$A34,ventas_producto,L$25)</f>
        <v>218669111</v>
      </c>
      <c r="M34" s="58">
        <f t="shared" si="77"/>
        <v>160364763</v>
      </c>
      <c r="N34" s="58">
        <f t="shared" si="77"/>
        <v>220801841</v>
      </c>
      <c r="O34" s="58">
        <f t="shared" si="77"/>
        <v>190929354</v>
      </c>
      <c r="P34" s="58">
        <f t="shared" si="77"/>
        <v>216479082</v>
      </c>
      <c r="Q34" s="58">
        <f>SUM(L34:P34)</f>
        <v>1007244151</v>
      </c>
      <c r="S34" s="89">
        <f t="shared" ref="S34:X38" si="78">SUMIFS(ventas_unidades,ventas_año,$A34,ventas_vendedor,S$33)</f>
        <v>33623</v>
      </c>
      <c r="T34" s="29">
        <f t="shared" si="78"/>
        <v>45235</v>
      </c>
      <c r="U34" s="29">
        <f t="shared" si="78"/>
        <v>12423</v>
      </c>
      <c r="V34" s="29">
        <f t="shared" si="78"/>
        <v>20990</v>
      </c>
      <c r="W34" s="29">
        <f t="shared" si="78"/>
        <v>44558</v>
      </c>
      <c r="X34" s="29">
        <f t="shared" si="78"/>
        <v>25153</v>
      </c>
      <c r="Y34" s="29">
        <f>SUM(S34:X34)</f>
        <v>181982</v>
      </c>
      <c r="AA34" s="103">
        <f t="shared" ref="AA34:AF38" si="79">SUMIFS(ventas_unidades,ventas_año,$A34,ventas_vendedor,AA$33)</f>
        <v>33623</v>
      </c>
      <c r="AB34" s="63">
        <f t="shared" si="79"/>
        <v>45235</v>
      </c>
      <c r="AC34" s="63">
        <f t="shared" si="79"/>
        <v>12423</v>
      </c>
      <c r="AD34" s="63">
        <f t="shared" si="79"/>
        <v>20990</v>
      </c>
      <c r="AE34" s="63">
        <f t="shared" si="79"/>
        <v>44558</v>
      </c>
      <c r="AF34" s="63">
        <f t="shared" si="79"/>
        <v>25153</v>
      </c>
      <c r="AG34" s="63">
        <f>SUM(AA34:AF34)</f>
        <v>181982</v>
      </c>
      <c r="AI34" s="81">
        <f t="shared" ref="AI34:AM38" si="80">SUMIFS(ventas_unidades,ventas_año,$A34,ventas_region,AI$33)</f>
        <v>33032</v>
      </c>
      <c r="AJ34" s="17">
        <f t="shared" si="80"/>
        <v>32696</v>
      </c>
      <c r="AK34" s="17">
        <f t="shared" si="80"/>
        <v>39124</v>
      </c>
      <c r="AL34" s="17">
        <f t="shared" si="80"/>
        <v>40573</v>
      </c>
      <c r="AM34" s="17">
        <f t="shared" si="80"/>
        <v>36557</v>
      </c>
      <c r="AN34" s="17">
        <f>SUM(AI34:AM34)</f>
        <v>181982</v>
      </c>
      <c r="AP34" s="110">
        <f t="shared" ref="AP34:AT38" si="81">SUMIFS(ventas_total,ventas_año,$A34,ventas_region,AP$33)</f>
        <v>218669111</v>
      </c>
      <c r="AQ34" s="41">
        <f t="shared" si="81"/>
        <v>160364763</v>
      </c>
      <c r="AR34" s="41">
        <f t="shared" si="81"/>
        <v>220801841</v>
      </c>
      <c r="AS34" s="41">
        <f t="shared" si="81"/>
        <v>190929354</v>
      </c>
      <c r="AT34" s="41">
        <f t="shared" si="81"/>
        <v>216479082</v>
      </c>
      <c r="AU34" s="41">
        <f>SUM(AP34:AT34)</f>
        <v>1007244151</v>
      </c>
      <c r="AW34" s="93"/>
      <c r="AX34" s="53"/>
      <c r="AY34" s="53"/>
      <c r="AZ34" s="53"/>
      <c r="BA34" s="120"/>
      <c r="BB34" s="120"/>
      <c r="BD34" s="93"/>
      <c r="BE34" s="53"/>
      <c r="BF34" s="53"/>
      <c r="BG34" s="53"/>
      <c r="BH34" s="120"/>
      <c r="BI34" s="120"/>
    </row>
    <row r="35" spans="1:61" x14ac:dyDescent="0.3">
      <c r="A35" s="26">
        <v>2009</v>
      </c>
      <c r="B35" s="30">
        <f>SUMIF(ventas_año,$A35,ventas_unidades)</f>
        <v>166664</v>
      </c>
      <c r="C35" s="38">
        <f>SUMIF(ventas_año,$A35,ventas_total)</f>
        <v>1106846472</v>
      </c>
      <c r="E35" s="82">
        <f t="shared" si="76"/>
        <v>32671</v>
      </c>
      <c r="F35" s="18">
        <f t="shared" si="76"/>
        <v>31651</v>
      </c>
      <c r="G35" s="18">
        <f t="shared" si="76"/>
        <v>34000</v>
      </c>
      <c r="H35" s="18">
        <f t="shared" si="76"/>
        <v>39442</v>
      </c>
      <c r="I35" s="18">
        <f t="shared" si="76"/>
        <v>28900</v>
      </c>
      <c r="J35" s="18">
        <f t="shared" ref="J35:J38" si="82">SUM(E35:I39)</f>
        <v>1534472</v>
      </c>
      <c r="L35" s="97">
        <f t="shared" si="77"/>
        <v>203341463</v>
      </c>
      <c r="M35" s="59">
        <f t="shared" si="77"/>
        <v>201880917</v>
      </c>
      <c r="N35" s="59">
        <f t="shared" si="77"/>
        <v>239992813</v>
      </c>
      <c r="O35" s="59">
        <f t="shared" si="77"/>
        <v>221383553</v>
      </c>
      <c r="P35" s="59">
        <f t="shared" si="77"/>
        <v>240247726</v>
      </c>
      <c r="Q35" s="59">
        <f t="shared" ref="Q35:Q38" si="83">SUM(L35:P35)</f>
        <v>1106846472</v>
      </c>
      <c r="S35" s="90">
        <f t="shared" si="78"/>
        <v>42339</v>
      </c>
      <c r="T35" s="30">
        <f t="shared" si="78"/>
        <v>39435</v>
      </c>
      <c r="U35" s="30">
        <f t="shared" si="78"/>
        <v>12194</v>
      </c>
      <c r="V35" s="30">
        <f t="shared" si="78"/>
        <v>11750</v>
      </c>
      <c r="W35" s="30">
        <f t="shared" si="78"/>
        <v>27319</v>
      </c>
      <c r="X35" s="30">
        <f t="shared" si="78"/>
        <v>33627</v>
      </c>
      <c r="Y35" s="30">
        <f t="shared" ref="Y35:Y38" si="84">SUM(S35:X35)</f>
        <v>166664</v>
      </c>
      <c r="AA35" s="104">
        <f t="shared" si="79"/>
        <v>42339</v>
      </c>
      <c r="AB35" s="64">
        <f t="shared" si="79"/>
        <v>39435</v>
      </c>
      <c r="AC35" s="64">
        <f t="shared" si="79"/>
        <v>12194</v>
      </c>
      <c r="AD35" s="64">
        <f t="shared" si="79"/>
        <v>11750</v>
      </c>
      <c r="AE35" s="64">
        <f t="shared" si="79"/>
        <v>27319</v>
      </c>
      <c r="AF35" s="64">
        <f t="shared" si="79"/>
        <v>33627</v>
      </c>
      <c r="AG35" s="64">
        <f t="shared" ref="AG35:AG38" si="85">SUM(AA35:AF35)</f>
        <v>166664</v>
      </c>
      <c r="AI35" s="82">
        <f t="shared" si="80"/>
        <v>32671</v>
      </c>
      <c r="AJ35" s="18">
        <f t="shared" si="80"/>
        <v>31651</v>
      </c>
      <c r="AK35" s="18">
        <f t="shared" si="80"/>
        <v>34000</v>
      </c>
      <c r="AL35" s="18">
        <f t="shared" si="80"/>
        <v>39442</v>
      </c>
      <c r="AM35" s="18">
        <f t="shared" si="80"/>
        <v>28900</v>
      </c>
      <c r="AN35" s="18">
        <f t="shared" ref="AN35:AN38" si="86">SUM(AI35:AM35)</f>
        <v>166664</v>
      </c>
      <c r="AP35" s="111">
        <f t="shared" si="81"/>
        <v>203341463</v>
      </c>
      <c r="AQ35" s="44">
        <f t="shared" si="81"/>
        <v>201880917</v>
      </c>
      <c r="AR35" s="44">
        <f t="shared" si="81"/>
        <v>239992813</v>
      </c>
      <c r="AS35" s="44">
        <f t="shared" si="81"/>
        <v>221383553</v>
      </c>
      <c r="AT35" s="44">
        <f t="shared" si="81"/>
        <v>240247726</v>
      </c>
      <c r="AU35" s="44">
        <f t="shared" ref="AU35:AU38" si="87">SUM(AP35:AT35)</f>
        <v>1106846472</v>
      </c>
      <c r="AW35" s="93"/>
      <c r="AX35" s="53"/>
      <c r="AY35" s="53"/>
      <c r="AZ35" s="53"/>
      <c r="BA35" s="120"/>
      <c r="BB35" s="120"/>
      <c r="BD35" s="93"/>
      <c r="BE35" s="53"/>
      <c r="BF35" s="53"/>
      <c r="BG35" s="53"/>
      <c r="BH35" s="120"/>
      <c r="BI35" s="120"/>
    </row>
    <row r="36" spans="1:61" x14ac:dyDescent="0.3">
      <c r="A36" s="27">
        <v>2010</v>
      </c>
      <c r="B36" s="31">
        <f>SUMIF(ventas_año,$A36,ventas_unidades)</f>
        <v>174655</v>
      </c>
      <c r="C36" s="39">
        <f>SUMIF(ventas_año,$A36,ventas_total)</f>
        <v>1089310347</v>
      </c>
      <c r="E36" s="83">
        <f t="shared" si="76"/>
        <v>35334</v>
      </c>
      <c r="F36" s="19">
        <f t="shared" si="76"/>
        <v>40967</v>
      </c>
      <c r="G36" s="19">
        <f t="shared" si="76"/>
        <v>31330</v>
      </c>
      <c r="H36" s="19">
        <f t="shared" si="76"/>
        <v>33573</v>
      </c>
      <c r="I36" s="19">
        <f t="shared" si="76"/>
        <v>33451</v>
      </c>
      <c r="J36" s="19">
        <f t="shared" si="82"/>
        <v>1367808</v>
      </c>
      <c r="L36" s="98">
        <f t="shared" si="77"/>
        <v>218564244</v>
      </c>
      <c r="M36" s="60">
        <f t="shared" si="77"/>
        <v>214457221</v>
      </c>
      <c r="N36" s="60">
        <f t="shared" si="77"/>
        <v>216914467</v>
      </c>
      <c r="O36" s="60">
        <f t="shared" si="77"/>
        <v>240503116</v>
      </c>
      <c r="P36" s="60">
        <f t="shared" si="77"/>
        <v>198871299</v>
      </c>
      <c r="Q36" s="60">
        <f t="shared" si="83"/>
        <v>1089310347</v>
      </c>
      <c r="S36" s="91">
        <f t="shared" si="78"/>
        <v>33889</v>
      </c>
      <c r="T36" s="31">
        <f t="shared" si="78"/>
        <v>40950</v>
      </c>
      <c r="U36" s="31">
        <f t="shared" si="78"/>
        <v>7739</v>
      </c>
      <c r="V36" s="31">
        <f t="shared" si="78"/>
        <v>24117</v>
      </c>
      <c r="W36" s="31">
        <f t="shared" si="78"/>
        <v>31540</v>
      </c>
      <c r="X36" s="31">
        <f t="shared" si="78"/>
        <v>36420</v>
      </c>
      <c r="Y36" s="31">
        <f t="shared" si="84"/>
        <v>174655</v>
      </c>
      <c r="AA36" s="105">
        <f t="shared" si="79"/>
        <v>33889</v>
      </c>
      <c r="AB36" s="65">
        <f t="shared" si="79"/>
        <v>40950</v>
      </c>
      <c r="AC36" s="65">
        <f t="shared" si="79"/>
        <v>7739</v>
      </c>
      <c r="AD36" s="65">
        <f t="shared" si="79"/>
        <v>24117</v>
      </c>
      <c r="AE36" s="65">
        <f t="shared" si="79"/>
        <v>31540</v>
      </c>
      <c r="AF36" s="65">
        <f t="shared" si="79"/>
        <v>36420</v>
      </c>
      <c r="AG36" s="65">
        <f t="shared" si="85"/>
        <v>174655</v>
      </c>
      <c r="AI36" s="83">
        <f t="shared" si="80"/>
        <v>35334</v>
      </c>
      <c r="AJ36" s="19">
        <f t="shared" si="80"/>
        <v>40967</v>
      </c>
      <c r="AK36" s="19">
        <f t="shared" si="80"/>
        <v>31330</v>
      </c>
      <c r="AL36" s="19">
        <f t="shared" si="80"/>
        <v>33573</v>
      </c>
      <c r="AM36" s="19">
        <f t="shared" si="80"/>
        <v>33451</v>
      </c>
      <c r="AN36" s="19">
        <f t="shared" si="86"/>
        <v>174655</v>
      </c>
      <c r="AP36" s="112">
        <f t="shared" si="81"/>
        <v>218564244</v>
      </c>
      <c r="AQ36" s="45">
        <f t="shared" si="81"/>
        <v>214457221</v>
      </c>
      <c r="AR36" s="45">
        <f t="shared" si="81"/>
        <v>216914467</v>
      </c>
      <c r="AS36" s="45">
        <f t="shared" si="81"/>
        <v>240503116</v>
      </c>
      <c r="AT36" s="45">
        <f t="shared" si="81"/>
        <v>198871299</v>
      </c>
      <c r="AU36" s="45">
        <f t="shared" si="87"/>
        <v>1089310347</v>
      </c>
      <c r="AW36" s="93"/>
      <c r="AX36" s="53"/>
      <c r="AY36" s="53"/>
      <c r="AZ36" s="53"/>
      <c r="BA36" s="120"/>
      <c r="BB36" s="120"/>
      <c r="BD36" s="93"/>
      <c r="BE36" s="53"/>
      <c r="BF36" s="53"/>
      <c r="BG36" s="53"/>
      <c r="BH36" s="120"/>
      <c r="BI36" s="120"/>
    </row>
    <row r="37" spans="1:61" x14ac:dyDescent="0.3">
      <c r="A37" s="26">
        <v>2011</v>
      </c>
      <c r="B37" s="30">
        <f>SUMIF(ventas_año,$A37,ventas_unidades)</f>
        <v>129642</v>
      </c>
      <c r="C37" s="38">
        <f>SUMIF(ventas_año,$A37,ventas_total)</f>
        <v>15082721</v>
      </c>
      <c r="E37" s="82">
        <f t="shared" si="76"/>
        <v>2738</v>
      </c>
      <c r="F37" s="18">
        <f t="shared" si="76"/>
        <v>4903</v>
      </c>
      <c r="G37" s="18">
        <f t="shared" si="76"/>
        <v>13926</v>
      </c>
      <c r="H37" s="18">
        <f t="shared" si="76"/>
        <v>129</v>
      </c>
      <c r="I37" s="18">
        <f t="shared" si="76"/>
        <v>107946</v>
      </c>
      <c r="J37" s="18">
        <f t="shared" si="82"/>
        <v>1193153</v>
      </c>
      <c r="L37" s="97">
        <f t="shared" si="77"/>
        <v>844832</v>
      </c>
      <c r="M37" s="59">
        <f t="shared" si="77"/>
        <v>483929</v>
      </c>
      <c r="N37" s="59">
        <f t="shared" si="77"/>
        <v>12448615</v>
      </c>
      <c r="O37" s="59">
        <f t="shared" si="77"/>
        <v>1203910</v>
      </c>
      <c r="P37" s="59">
        <f t="shared" si="77"/>
        <v>101435</v>
      </c>
      <c r="Q37" s="59">
        <f t="shared" si="83"/>
        <v>15082721</v>
      </c>
      <c r="S37" s="90">
        <f t="shared" si="78"/>
        <v>9886</v>
      </c>
      <c r="T37" s="30">
        <f t="shared" si="78"/>
        <v>0</v>
      </c>
      <c r="U37" s="30">
        <f t="shared" si="78"/>
        <v>0</v>
      </c>
      <c r="V37" s="30">
        <f t="shared" si="78"/>
        <v>107066</v>
      </c>
      <c r="W37" s="30">
        <f t="shared" si="78"/>
        <v>9823</v>
      </c>
      <c r="X37" s="30">
        <f t="shared" si="78"/>
        <v>2867</v>
      </c>
      <c r="Y37" s="30">
        <f t="shared" si="84"/>
        <v>129642</v>
      </c>
      <c r="AA37" s="104">
        <f t="shared" si="79"/>
        <v>9886</v>
      </c>
      <c r="AB37" s="64">
        <f t="shared" si="79"/>
        <v>0</v>
      </c>
      <c r="AC37" s="64">
        <f t="shared" si="79"/>
        <v>0</v>
      </c>
      <c r="AD37" s="64">
        <f t="shared" si="79"/>
        <v>107066</v>
      </c>
      <c r="AE37" s="64">
        <f t="shared" si="79"/>
        <v>9823</v>
      </c>
      <c r="AF37" s="64">
        <f t="shared" si="79"/>
        <v>2867</v>
      </c>
      <c r="AG37" s="64">
        <f t="shared" si="85"/>
        <v>129642</v>
      </c>
      <c r="AI37" s="82">
        <f t="shared" si="80"/>
        <v>9072</v>
      </c>
      <c r="AJ37" s="18">
        <f t="shared" si="80"/>
        <v>107946</v>
      </c>
      <c r="AK37" s="18">
        <f t="shared" si="80"/>
        <v>7721</v>
      </c>
      <c r="AL37" s="18">
        <f t="shared" si="80"/>
        <v>4903</v>
      </c>
      <c r="AM37" s="18">
        <f t="shared" si="80"/>
        <v>0</v>
      </c>
      <c r="AN37" s="18">
        <f t="shared" si="86"/>
        <v>129642</v>
      </c>
      <c r="AP37" s="111">
        <f t="shared" si="81"/>
        <v>5532144</v>
      </c>
      <c r="AQ37" s="44">
        <f t="shared" si="81"/>
        <v>101435</v>
      </c>
      <c r="AR37" s="44">
        <f t="shared" si="81"/>
        <v>8965213</v>
      </c>
      <c r="AS37" s="44">
        <f t="shared" si="81"/>
        <v>483929</v>
      </c>
      <c r="AT37" s="44">
        <f t="shared" si="81"/>
        <v>0</v>
      </c>
      <c r="AU37" s="44">
        <f t="shared" si="87"/>
        <v>15082721</v>
      </c>
      <c r="AW37" s="93"/>
      <c r="AX37" s="53"/>
      <c r="AY37" s="53"/>
      <c r="AZ37" s="53"/>
      <c r="BA37" s="120"/>
      <c r="BB37" s="120"/>
      <c r="BD37" s="93"/>
      <c r="BE37" s="53"/>
      <c r="BF37" s="53"/>
      <c r="BG37" s="53"/>
      <c r="BH37" s="120"/>
      <c r="BI37" s="120"/>
    </row>
    <row r="38" spans="1:61" ht="15" thickBot="1" x14ac:dyDescent="0.35">
      <c r="A38" s="27">
        <v>2012</v>
      </c>
      <c r="B38" s="31">
        <f>SUMIF(ventas_año,$A38,ventas_unidades)</f>
        <v>205284</v>
      </c>
      <c r="C38" s="39">
        <f>SUMIF(ventas_año,$A38,ventas_total)</f>
        <v>11533854</v>
      </c>
      <c r="E38" s="83">
        <f t="shared" si="76"/>
        <v>7128</v>
      </c>
      <c r="F38" s="19">
        <f t="shared" si="76"/>
        <v>194302</v>
      </c>
      <c r="G38" s="19">
        <f t="shared" si="76"/>
        <v>0</v>
      </c>
      <c r="H38" s="19">
        <f t="shared" si="76"/>
        <v>1927</v>
      </c>
      <c r="I38" s="19">
        <f t="shared" si="76"/>
        <v>1927</v>
      </c>
      <c r="J38" s="19">
        <f t="shared" si="82"/>
        <v>1063511</v>
      </c>
      <c r="L38" s="98">
        <f t="shared" si="77"/>
        <v>9123918</v>
      </c>
      <c r="M38" s="60">
        <f t="shared" si="77"/>
        <v>937562</v>
      </c>
      <c r="N38" s="60">
        <f t="shared" si="77"/>
        <v>0</v>
      </c>
      <c r="O38" s="60">
        <f t="shared" si="77"/>
        <v>923982</v>
      </c>
      <c r="P38" s="60">
        <f t="shared" si="77"/>
        <v>548392</v>
      </c>
      <c r="Q38" s="60">
        <f t="shared" si="83"/>
        <v>11533854</v>
      </c>
      <c r="S38" s="91">
        <f t="shared" si="78"/>
        <v>1928</v>
      </c>
      <c r="T38" s="31">
        <f t="shared" si="78"/>
        <v>0</v>
      </c>
      <c r="U38" s="31">
        <f t="shared" si="78"/>
        <v>0</v>
      </c>
      <c r="V38" s="31">
        <f t="shared" si="78"/>
        <v>192374</v>
      </c>
      <c r="W38" s="31">
        <f t="shared" si="78"/>
        <v>9055</v>
      </c>
      <c r="X38" s="31">
        <f t="shared" si="78"/>
        <v>1927</v>
      </c>
      <c r="Y38" s="31">
        <f t="shared" si="84"/>
        <v>205284</v>
      </c>
      <c r="AA38" s="105">
        <f t="shared" si="79"/>
        <v>1928</v>
      </c>
      <c r="AB38" s="65">
        <f t="shared" si="79"/>
        <v>0</v>
      </c>
      <c r="AC38" s="65">
        <f t="shared" si="79"/>
        <v>0</v>
      </c>
      <c r="AD38" s="65">
        <f t="shared" si="79"/>
        <v>192374</v>
      </c>
      <c r="AE38" s="65">
        <f t="shared" si="79"/>
        <v>9055</v>
      </c>
      <c r="AF38" s="65">
        <f t="shared" si="79"/>
        <v>1927</v>
      </c>
      <c r="AG38" s="65">
        <f t="shared" si="85"/>
        <v>205284</v>
      </c>
      <c r="AI38" s="83">
        <f t="shared" si="80"/>
        <v>0</v>
      </c>
      <c r="AJ38" s="19">
        <f t="shared" si="80"/>
        <v>0</v>
      </c>
      <c r="AK38" s="19">
        <f t="shared" si="80"/>
        <v>3855</v>
      </c>
      <c r="AL38" s="19">
        <f t="shared" si="80"/>
        <v>194301</v>
      </c>
      <c r="AM38" s="19">
        <f t="shared" si="80"/>
        <v>7128</v>
      </c>
      <c r="AN38" s="19">
        <f t="shared" si="86"/>
        <v>205284</v>
      </c>
      <c r="AP38" s="112">
        <f t="shared" si="81"/>
        <v>0</v>
      </c>
      <c r="AQ38" s="45">
        <f t="shared" si="81"/>
        <v>0</v>
      </c>
      <c r="AR38" s="45">
        <f t="shared" si="81"/>
        <v>1032196</v>
      </c>
      <c r="AS38" s="45">
        <f t="shared" si="81"/>
        <v>1377740</v>
      </c>
      <c r="AT38" s="45">
        <f t="shared" si="81"/>
        <v>9123918</v>
      </c>
      <c r="AU38" s="45">
        <f t="shared" si="87"/>
        <v>11533854</v>
      </c>
      <c r="AW38" s="93"/>
      <c r="AX38" s="53"/>
      <c r="AY38" s="53"/>
      <c r="AZ38" s="53"/>
      <c r="BA38" s="120"/>
      <c r="BB38" s="120"/>
      <c r="BD38" s="93"/>
      <c r="BE38" s="53"/>
      <c r="BF38" s="53"/>
      <c r="BG38" s="53"/>
      <c r="BH38" s="120"/>
      <c r="BI38" s="120"/>
    </row>
    <row r="39" spans="1:61" ht="15.6" thickTop="1" thickBot="1" x14ac:dyDescent="0.35">
      <c r="A39" s="32" t="s">
        <v>34</v>
      </c>
      <c r="B39" s="116">
        <f>SUM(B34:B38)</f>
        <v>858227</v>
      </c>
      <c r="C39" s="115">
        <f>SUBTOTAL(109,estadisticas!$C$34:$C$38)</f>
        <v>3230017545</v>
      </c>
      <c r="E39" s="94">
        <f>SUM(E34:E38)</f>
        <v>110903</v>
      </c>
      <c r="F39" s="50">
        <f t="shared" ref="F39" si="88">SUM(F34:F38)</f>
        <v>304519</v>
      </c>
      <c r="G39" s="50">
        <f t="shared" ref="G39" si="89">SUM(G34:G38)</f>
        <v>118380</v>
      </c>
      <c r="H39" s="50">
        <f t="shared" ref="H39" si="90">SUM(H34:H38)</f>
        <v>115644</v>
      </c>
      <c r="I39" s="50">
        <f t="shared" ref="I39" si="91">SUM(I34:I38)</f>
        <v>208781</v>
      </c>
      <c r="J39" s="117">
        <f t="shared" ref="J39" si="92">SUM(J34:J38)</f>
        <v>6017171</v>
      </c>
      <c r="L39" s="108">
        <f>SUM(L34:L38)</f>
        <v>650543568</v>
      </c>
      <c r="M39" s="68">
        <f t="shared" ref="M39" si="93">SUM(M34:M38)</f>
        <v>578124392</v>
      </c>
      <c r="N39" s="68">
        <f t="shared" ref="N39" si="94">SUM(N34:N38)</f>
        <v>690157736</v>
      </c>
      <c r="O39" s="68">
        <f t="shared" ref="O39" si="95">SUM(O34:O38)</f>
        <v>654943915</v>
      </c>
      <c r="P39" s="68">
        <f t="shared" ref="P39" si="96">SUM(P34:P38)</f>
        <v>656247934</v>
      </c>
      <c r="Q39" s="114">
        <f>SUM(Q34:Q38)</f>
        <v>3230017545</v>
      </c>
      <c r="S39" s="92">
        <f>SUM(S34:S38)</f>
        <v>121665</v>
      </c>
      <c r="T39" s="40">
        <f t="shared" ref="T39:Y39" si="97">SUM(T34:T38)</f>
        <v>125620</v>
      </c>
      <c r="U39" s="40">
        <f t="shared" si="97"/>
        <v>32356</v>
      </c>
      <c r="V39" s="40">
        <f t="shared" si="97"/>
        <v>356297</v>
      </c>
      <c r="W39" s="40">
        <f t="shared" si="97"/>
        <v>122295</v>
      </c>
      <c r="X39" s="40">
        <f t="shared" si="97"/>
        <v>99994</v>
      </c>
      <c r="Y39" s="40">
        <f t="shared" si="97"/>
        <v>858227</v>
      </c>
      <c r="AA39" s="106">
        <f>SUM(AA34:AA38)</f>
        <v>121665</v>
      </c>
      <c r="AB39" s="66">
        <f t="shared" ref="AB39" si="98">SUM(AB34:AB38)</f>
        <v>125620</v>
      </c>
      <c r="AC39" s="66">
        <f t="shared" ref="AC39" si="99">SUM(AC34:AC38)</f>
        <v>32356</v>
      </c>
      <c r="AD39" s="66">
        <f t="shared" ref="AD39" si="100">SUM(AD34:AD38)</f>
        <v>356297</v>
      </c>
      <c r="AE39" s="66">
        <f t="shared" ref="AE39" si="101">SUM(AE34:AE38)</f>
        <v>122295</v>
      </c>
      <c r="AF39" s="66">
        <f t="shared" ref="AF39" si="102">SUM(AF34:AF38)</f>
        <v>99994</v>
      </c>
      <c r="AG39" s="114">
        <f t="shared" ref="AG39" si="103">SUM(AG34:AG38)</f>
        <v>858227</v>
      </c>
      <c r="AI39" s="94">
        <f>SUM(AI34:AI38)</f>
        <v>110109</v>
      </c>
      <c r="AJ39" s="50">
        <f t="shared" ref="AJ39:AN39" si="104">SUM(AJ34:AJ38)</f>
        <v>213260</v>
      </c>
      <c r="AK39" s="50">
        <f t="shared" si="104"/>
        <v>116030</v>
      </c>
      <c r="AL39" s="50">
        <f t="shared" si="104"/>
        <v>312792</v>
      </c>
      <c r="AM39" s="50">
        <f t="shared" si="104"/>
        <v>106036</v>
      </c>
      <c r="AN39" s="117">
        <f t="shared" si="104"/>
        <v>858227</v>
      </c>
      <c r="AP39" s="113">
        <f>SUM(AP34:AP38)</f>
        <v>646106962</v>
      </c>
      <c r="AQ39" s="48">
        <f t="shared" ref="AQ39" si="105">SUM(AQ34:AQ38)</f>
        <v>576804336</v>
      </c>
      <c r="AR39" s="48">
        <f t="shared" ref="AR39" si="106">SUM(AR34:AR38)</f>
        <v>687706530</v>
      </c>
      <c r="AS39" s="48">
        <f t="shared" ref="AS39" si="107">SUM(AS34:AS38)</f>
        <v>654677692</v>
      </c>
      <c r="AT39" s="48">
        <f t="shared" ref="AT39" si="108">SUM(AT34:AT38)</f>
        <v>664722025</v>
      </c>
      <c r="AU39" s="118">
        <f t="shared" ref="AU39" si="109">SUM(AU34:AU38)</f>
        <v>3230017545</v>
      </c>
      <c r="AW39" s="93"/>
      <c r="AX39" s="53"/>
      <c r="AY39" s="53"/>
      <c r="AZ39" s="53"/>
      <c r="BA39" s="120"/>
      <c r="BB39" s="120"/>
      <c r="BD39" s="93"/>
      <c r="BE39" s="53"/>
      <c r="BF39" s="53"/>
      <c r="BG39" s="53"/>
      <c r="BH39" s="120"/>
      <c r="BI39" s="1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ventas</vt:lpstr>
      <vt:lpstr>listas</vt:lpstr>
      <vt:lpstr>estadisticas</vt:lpstr>
      <vt:lpstr>ventas_año</vt:lpstr>
      <vt:lpstr>ventas_producto</vt:lpstr>
      <vt:lpstr>ventas_region</vt:lpstr>
      <vt:lpstr>ventas_total</vt:lpstr>
      <vt:lpstr>ventas_unidades</vt:lpstr>
      <vt:lpstr>ventas_vendedor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Racedo</cp:lastModifiedBy>
  <dcterms:modified xsi:type="dcterms:W3CDTF">2025-07-22T18:19:58Z</dcterms:modified>
</cp:coreProperties>
</file>